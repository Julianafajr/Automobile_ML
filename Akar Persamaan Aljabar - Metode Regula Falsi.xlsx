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oal 1" sheetId="2" state="visible" r:id="rId2"/>
    <sheet xmlns:r="http://schemas.openxmlformats.org/officeDocument/2006/relationships" name="Soal 2" sheetId="3" state="visible" r:id="rId3"/>
    <sheet xmlns:r="http://schemas.openxmlformats.org/officeDocument/2006/relationships" name="Soal 3" sheetId="4" state="visible" r:id="rId4"/>
    <sheet xmlns:r="http://schemas.openxmlformats.org/officeDocument/2006/relationships" name="Soal 4" sheetId="5" state="visible" r:id="rId5"/>
    <sheet xmlns:r="http://schemas.openxmlformats.org/officeDocument/2006/relationships" name="Soal 5" sheetId="6" state="visible" r:id="rId6"/>
    <sheet xmlns:r="http://schemas.openxmlformats.org/officeDocument/2006/relationships" name="Soal 6" sheetId="7" state="visible" r:id="rId7"/>
    <sheet xmlns:r="http://schemas.openxmlformats.org/officeDocument/2006/relationships" name="Soal 7" sheetId="8" state="visible" r:id="rId8"/>
    <sheet xmlns:r="http://schemas.openxmlformats.org/officeDocument/2006/relationships" name="Soal 8" sheetId="9" state="visible" r:id="rId9"/>
    <sheet xmlns:r="http://schemas.openxmlformats.org/officeDocument/2006/relationships" name="Soal 9" sheetId="10" state="visible" r:id="rId10"/>
    <sheet xmlns:r="http://schemas.openxmlformats.org/officeDocument/2006/relationships" name="Soal 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b val="1"/>
    </font>
    <font>
      <name val="Calibri"/>
      <b val="1"/>
      <color rgb="00000000"/>
      <sz val="11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4" customWidth="1" min="4" max="4"/>
    <col width="13" customWidth="1" min="5" max="5"/>
    <col width="9" customWidth="1" min="6" max="6"/>
    <col width="44" customWidth="1" min="7" max="7"/>
  </cols>
  <sheetData>
    <row r="1">
      <c r="A1" s="1" t="inlineStr">
        <is>
          <t>RINGKASAN HASIL - MENCARI AKAR PERSAMAAN ALJABAR</t>
        </is>
      </c>
    </row>
    <row r="2">
      <c r="A2" s="2" t="inlineStr">
        <is>
          <t>Metode: Regula Falsi (False Position)   |   Toleransi = 0,001</t>
        </is>
      </c>
    </row>
    <row r="4">
      <c r="A4" s="3" t="inlineStr">
        <is>
          <t>No</t>
        </is>
      </c>
      <c r="B4" s="3" t="inlineStr">
        <is>
          <t>Persamaan f(x) = 0</t>
        </is>
      </c>
      <c r="C4" s="3" t="inlineStr">
        <is>
          <t>Interval [a, b]</t>
        </is>
      </c>
      <c r="D4" s="3" t="inlineStr">
        <is>
          <t>Akar (x)</t>
        </is>
      </c>
      <c r="E4" s="3" t="inlineStr">
        <is>
          <t>f(akar)</t>
        </is>
      </c>
      <c r="F4" s="3" t="inlineStr">
        <is>
          <t>Iterasi</t>
        </is>
      </c>
      <c r="G4" s="3" t="inlineStr">
        <is>
          <t>Keterangan</t>
        </is>
      </c>
    </row>
    <row r="5">
      <c r="A5" s="4" t="n">
        <v>1</v>
      </c>
      <c r="B5" s="5" t="inlineStr">
        <is>
          <t>x^2 - 3x + 1</t>
        </is>
      </c>
      <c r="C5" s="4" t="inlineStr">
        <is>
          <t>[0, 1]</t>
        </is>
      </c>
      <c r="D5" s="6">
        <f>'Soal 1'!D26</f>
        <v/>
      </c>
      <c r="E5" s="6">
        <f>'Soal 1'!G26</f>
        <v/>
      </c>
      <c r="F5" s="4">
        <f>IFERROR(MATCH(TRUE,'Soal 1'!J7:J26,0),"-")</f>
        <v/>
      </c>
      <c r="G5" s="5" t="inlineStr"/>
    </row>
    <row r="6">
      <c r="A6" s="4" t="n">
        <v>2</v>
      </c>
      <c r="B6" s="5" t="inlineStr">
        <is>
          <t>tan(pi - x) - x</t>
        </is>
      </c>
      <c r="C6" s="4" t="inlineStr">
        <is>
          <t>[2, 2.1]</t>
        </is>
      </c>
      <c r="D6" s="6">
        <f>'Soal 2'!D26</f>
        <v/>
      </c>
      <c r="E6" s="6">
        <f>'Soal 2'!G26</f>
        <v/>
      </c>
      <c r="F6" s="4">
        <f>IFERROR(MATCH(TRUE,'Soal 2'!J7:J26,0),"-")</f>
        <v/>
      </c>
      <c r="G6" s="5" t="inlineStr"/>
    </row>
    <row r="7">
      <c r="A7" s="4" t="n">
        <v>3</v>
      </c>
      <c r="B7" s="5" t="inlineStr">
        <is>
          <t>x^3 - x^2 - x + 1</t>
        </is>
      </c>
      <c r="C7" s="4" t="inlineStr">
        <is>
          <t>[-1.5, -0.5]</t>
        </is>
      </c>
      <c r="D7" s="6">
        <f>'Soal 3'!D26</f>
        <v/>
      </c>
      <c r="E7" s="6">
        <f>'Soal 3'!G26</f>
        <v/>
      </c>
      <c r="F7" s="4">
        <f>IFERROR(MATCH(TRUE,'Soal 3'!J7:J26,0),"-")</f>
        <v/>
      </c>
      <c r="G7" s="5" t="inlineStr"/>
    </row>
    <row r="8">
      <c r="A8" s="4" t="n">
        <v>4</v>
      </c>
      <c r="B8" s="5" t="inlineStr">
        <is>
          <t>(x - 5)^4</t>
        </is>
      </c>
      <c r="C8" s="4" t="inlineStr">
        <is>
          <t>[4, 6]</t>
        </is>
      </c>
      <c r="D8" s="6" t="n">
        <v>5</v>
      </c>
      <c r="E8" s="6" t="n">
        <v>0</v>
      </c>
      <c r="F8" s="4" t="inlineStr">
        <is>
          <t>-</t>
        </is>
      </c>
      <c r="G8" s="5" t="inlineStr">
        <is>
          <t>Tidak ada perubahan tanda; akar rangkap x = 5 (analitis)</t>
        </is>
      </c>
    </row>
    <row r="9">
      <c r="A9" s="4" t="n">
        <v>5</v>
      </c>
      <c r="B9" s="5" t="inlineStr">
        <is>
          <t>x^3 - 4x + 1</t>
        </is>
      </c>
      <c r="C9" s="4" t="inlineStr">
        <is>
          <t>[0, 1]</t>
        </is>
      </c>
      <c r="D9" s="6">
        <f>'Soal 5'!D26</f>
        <v/>
      </c>
      <c r="E9" s="6">
        <f>'Soal 5'!G26</f>
        <v/>
      </c>
      <c r="F9" s="4">
        <f>IFERROR(MATCH(TRUE,'Soal 5'!J7:J26,0),"-")</f>
        <v/>
      </c>
      <c r="G9" s="5" t="inlineStr"/>
    </row>
    <row r="10">
      <c r="A10" s="4" t="n">
        <v>6</v>
      </c>
      <c r="B10" s="5" t="inlineStr">
        <is>
          <t>x + cos x</t>
        </is>
      </c>
      <c r="C10" s="4" t="inlineStr">
        <is>
          <t>[-1, 0]</t>
        </is>
      </c>
      <c r="D10" s="6">
        <f>'Soal 6'!D26</f>
        <v/>
      </c>
      <c r="E10" s="6">
        <f>'Soal 6'!G26</f>
        <v/>
      </c>
      <c r="F10" s="4">
        <f>IFERROR(MATCH(TRUE,'Soal 6'!J7:J26,0),"-")</f>
        <v/>
      </c>
      <c r="G10" s="5" t="inlineStr"/>
    </row>
    <row r="11">
      <c r="A11" s="4" t="n">
        <v>7</v>
      </c>
      <c r="B11" s="5" t="inlineStr">
        <is>
          <t>2x - log x - 6   (log basis 10)</t>
        </is>
      </c>
      <c r="C11" s="4" t="inlineStr">
        <is>
          <t>[3, 3.5]</t>
        </is>
      </c>
      <c r="D11" s="6">
        <f>'Soal 7'!D26</f>
        <v/>
      </c>
      <c r="E11" s="6">
        <f>'Soal 7'!G26</f>
        <v/>
      </c>
      <c r="F11" s="4">
        <f>IFERROR(MATCH(TRUE,'Soal 7'!J7:J26,0),"-")</f>
        <v/>
      </c>
      <c r="G11" s="5" t="inlineStr">
        <is>
          <t>Diasumsikan log basis 10</t>
        </is>
      </c>
    </row>
    <row r="12">
      <c r="A12" s="4" t="n">
        <v>8</v>
      </c>
      <c r="B12" s="5" t="inlineStr">
        <is>
          <t>x^6 - x^4 - x^3 - 1</t>
        </is>
      </c>
      <c r="C12" s="4" t="inlineStr">
        <is>
          <t>[1, 1.5]</t>
        </is>
      </c>
      <c r="D12" s="6">
        <f>'Soal 8'!D26</f>
        <v/>
      </c>
      <c r="E12" s="6">
        <f>'Soal 8'!G26</f>
        <v/>
      </c>
      <c r="F12" s="4">
        <f>IFERROR(MATCH(TRUE,'Soal 8'!J7:J26,0),"-")</f>
        <v/>
      </c>
      <c r="G12" s="5" t="inlineStr"/>
    </row>
    <row r="13">
      <c r="A13" s="4" t="n">
        <v>9</v>
      </c>
      <c r="B13" s="5" t="inlineStr">
        <is>
          <t>x - e^(-x)</t>
        </is>
      </c>
      <c r="C13" s="4" t="inlineStr">
        <is>
          <t>[0, 1]</t>
        </is>
      </c>
      <c r="D13" s="6">
        <f>'Soal 9'!D26</f>
        <v/>
      </c>
      <c r="E13" s="6">
        <f>'Soal 9'!G26</f>
        <v/>
      </c>
      <c r="F13" s="4">
        <f>IFERROR(MATCH(TRUE,'Soal 9'!J7:J26,0),"-")</f>
        <v/>
      </c>
      <c r="G13" s="5" t="inlineStr">
        <is>
          <t>Dibaca f(x) = x - e^(-x) (koreksi penulisan soal)</t>
        </is>
      </c>
    </row>
    <row r="14">
      <c r="A14" s="4" t="n">
        <v>10</v>
      </c>
      <c r="B14" s="5" t="inlineStr">
        <is>
          <t>ln[(1 + x)/(1 - x^2)]</t>
        </is>
      </c>
      <c r="C14" s="4" t="inlineStr">
        <is>
          <t>[-0.5, 0.5]</t>
        </is>
      </c>
      <c r="D14" s="6">
        <f>'Soal 10'!D26</f>
        <v/>
      </c>
      <c r="E14" s="6">
        <f>'Soal 10'!G26</f>
        <v/>
      </c>
      <c r="F14" s="4">
        <f>IFERROR(MATCH(TRUE,'Soal 10'!J7:J26,0),"-")</f>
        <v/>
      </c>
      <c r="G14" s="5" t="inlineStr">
        <is>
          <t>(1+x)/(1-x^2) = 1/(1-x); akar x = 0</t>
        </is>
      </c>
    </row>
    <row r="16">
      <c r="A16" s="7" t="inlineStr">
        <is>
          <t>Catatan:</t>
        </is>
      </c>
    </row>
    <row r="17">
      <c r="A17" t="inlineStr">
        <is>
          <t>1. Tiap soal dihitung pada sheet 'Soal 1' s/d 'Soal 10' dengan tabel iterasi otomatis (formula hidup, bisa diubah interval/toleransinya).</t>
        </is>
      </c>
    </row>
    <row r="18">
      <c r="A18" t="inlineStr">
        <is>
          <t>2. Rumus Regula Falsi: x = a - f(a)*(b-a)/(f(b)-f(a)). Batas diperbarui: jika tanda f(x) sama dengan f(a) maka a = x, selain itu b = x.</t>
        </is>
      </c>
    </row>
    <row r="19">
      <c r="A19" t="inlineStr">
        <is>
          <t>3. Kriteria berhenti: |x(k) - x(k-1)| &lt; 0,001 DAN |f(x(k))| &lt; 0,001.</t>
        </is>
      </c>
    </row>
    <row r="20">
      <c r="A20" t="inlineStr">
        <is>
          <t>4. Soal 4 (x-5)^4: f(x) selalu &gt;= 0 sehingga tidak ada perubahan tanda; Regula Falsi tidak berlaku, akar rangkap x = 5.</t>
        </is>
      </c>
    </row>
    <row r="21">
      <c r="A21" t="inlineStr">
        <is>
          <t>5. Soal 7: 'log' diartikan logaritma basis 10. Soal 9: ditulis ulang sebagai x - e^(-x) (penulisan asli 'x - e - x' tidak bermakna).</t>
        </is>
      </c>
    </row>
  </sheetData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5" customWidth="1" min="8" max="8"/>
    <col width="13" customWidth="1" min="9" max="9"/>
    <col width="9" customWidth="1" min="10" max="10"/>
    <col width="14" customWidth="1" min="11" max="11"/>
  </cols>
  <sheetData>
    <row r="1">
      <c r="A1" s="8" t="inlineStr">
        <is>
          <t>SOAL 1 - METODE REGULA FALSI</t>
        </is>
      </c>
    </row>
    <row r="2">
      <c r="A2" s="9" t="inlineStr">
        <is>
          <t>f(x) = x^2 - 3x + 1 = 0</t>
        </is>
      </c>
    </row>
    <row r="3">
      <c r="A3" s="7" t="inlineStr">
        <is>
          <t>Interval:</t>
        </is>
      </c>
      <c r="B3" t="inlineStr">
        <is>
          <t>a =</t>
        </is>
      </c>
      <c r="C3" s="10" t="n">
        <v>0</v>
      </c>
      <c r="D3" t="inlineStr">
        <is>
          <t>b =</t>
        </is>
      </c>
      <c r="E3" s="10" t="n">
        <v>1</v>
      </c>
    </row>
    <row r="4">
      <c r="A4" s="7" t="inlineStr">
        <is>
          <t>Toleransi:</t>
        </is>
      </c>
      <c r="B4" s="10" t="n">
        <v>0.001</v>
      </c>
      <c r="C4" t="inlineStr">
        <is>
          <t>berhenti bila |x(k) - x(k-1)| &lt; tol  dan  |f(x)| &lt; tol</t>
        </is>
      </c>
    </row>
    <row r="6">
      <c r="A6" s="3" t="inlineStr">
        <is>
          <t>Iterasi k</t>
        </is>
      </c>
      <c r="B6" s="3" t="inlineStr">
        <is>
          <t>a</t>
        </is>
      </c>
      <c r="C6" s="3" t="inlineStr">
        <is>
          <t>b</t>
        </is>
      </c>
      <c r="D6" s="3" t="inlineStr">
        <is>
          <t>x(k)</t>
        </is>
      </c>
      <c r="E6" s="3" t="inlineStr">
        <is>
          <t>f(a)</t>
        </is>
      </c>
      <c r="F6" s="3" t="inlineStr">
        <is>
          <t>f(b)</t>
        </is>
      </c>
      <c r="G6" s="3" t="inlineStr">
        <is>
          <t>f(x(k))</t>
        </is>
      </c>
      <c r="H6" s="3" t="inlineStr">
        <is>
          <t>|x(k)-x(k-1)|</t>
        </is>
      </c>
      <c r="I6" s="3" t="inlineStr">
        <is>
          <t>|f(x(k))|</t>
        </is>
      </c>
      <c r="J6" s="3" t="inlineStr">
        <is>
          <t>selesai?</t>
        </is>
      </c>
      <c r="K6" s="3" t="inlineStr">
        <is>
          <t>Status</t>
        </is>
      </c>
    </row>
    <row r="7">
      <c r="A7" s="4" t="n">
        <v>1</v>
      </c>
      <c r="B7" s="6">
        <f>C3</f>
        <v/>
      </c>
      <c r="C7" s="6">
        <f>E3</f>
        <v/>
      </c>
      <c r="D7" s="6">
        <f>IFERROR(B7-E7*(C7-B7)/(F7-E7),"")</f>
        <v/>
      </c>
      <c r="E7" s="6">
        <f>B7^2-3*B7+1</f>
        <v/>
      </c>
      <c r="F7" s="6">
        <f>C7^2-3*C7+1</f>
        <v/>
      </c>
      <c r="G7" s="6">
        <f>D7^2-3*D7+1</f>
        <v/>
      </c>
      <c r="H7" s="6" t="n"/>
      <c r="I7" s="6">
        <f>IF(ISNUMBER(G7),ABS(G7),"")</f>
        <v/>
      </c>
      <c r="J7" s="4">
        <f>IF(AND(ISNUMBER(H7),H7&lt;$B$4,I7&lt;$B$4),TRUE,FALSE)</f>
        <v/>
      </c>
      <c r="K7" s="4">
        <f>IF(J7,"&lt;= KONVERGEN","lanjut")</f>
        <v/>
      </c>
    </row>
    <row r="8">
      <c r="A8" s="4" t="n">
        <v>2</v>
      </c>
      <c r="B8" s="6">
        <f>IF(J7,B7,IF(SIGN(G7)=SIGN(E7),D7,B7))</f>
        <v/>
      </c>
      <c r="C8" s="6">
        <f>IF(J7,C7,IF(SIGN(G7)=SIGN(E7),C7,D7))</f>
        <v/>
      </c>
      <c r="D8" s="6">
        <f>IF(J7,D7,IFERROR(B8-E8*(C8-B8)/(F8-E8),D7))</f>
        <v/>
      </c>
      <c r="E8" s="6">
        <f>B8^2-3*B8+1</f>
        <v/>
      </c>
      <c r="F8" s="6">
        <f>C8^2-3*C8+1</f>
        <v/>
      </c>
      <c r="G8" s="6">
        <f>D8^2-3*D8+1</f>
        <v/>
      </c>
      <c r="H8" s="6">
        <f>ABS(D8-D7)</f>
        <v/>
      </c>
      <c r="I8" s="6">
        <f>IF(ISNUMBER(G8),ABS(G8),"")</f>
        <v/>
      </c>
      <c r="J8" s="4">
        <f>IF(OR(J7,AND(ISNUMBER(H8),H8&lt;$B$4,I8&lt;$B$4)),TRUE,FALSE)</f>
        <v/>
      </c>
      <c r="K8" s="4">
        <f>IF(AND(J8,NOT(J7)),"&lt;= KONVERGEN",IF(J8,"","lanjut"))</f>
        <v/>
      </c>
    </row>
    <row r="9">
      <c r="A9" s="4" t="n">
        <v>3</v>
      </c>
      <c r="B9" s="6">
        <f>IF(J8,B8,IF(SIGN(G8)=SIGN(E8),D8,B8))</f>
        <v/>
      </c>
      <c r="C9" s="6">
        <f>IF(J8,C8,IF(SIGN(G8)=SIGN(E8),C8,D8))</f>
        <v/>
      </c>
      <c r="D9" s="6">
        <f>IF(J8,D8,IFERROR(B9-E9*(C9-B9)/(F9-E9),D8))</f>
        <v/>
      </c>
      <c r="E9" s="6">
        <f>B9^2-3*B9+1</f>
        <v/>
      </c>
      <c r="F9" s="6">
        <f>C9^2-3*C9+1</f>
        <v/>
      </c>
      <c r="G9" s="6">
        <f>D9^2-3*D9+1</f>
        <v/>
      </c>
      <c r="H9" s="6">
        <f>ABS(D9-D8)</f>
        <v/>
      </c>
      <c r="I9" s="6">
        <f>IF(ISNUMBER(G9),ABS(G9),"")</f>
        <v/>
      </c>
      <c r="J9" s="4">
        <f>IF(OR(J8,AND(ISNUMBER(H9),H9&lt;$B$4,I9&lt;$B$4)),TRUE,FALSE)</f>
        <v/>
      </c>
      <c r="K9" s="4">
        <f>IF(AND(J9,NOT(J8)),"&lt;= KONVERGEN",IF(J9,"","lanjut"))</f>
        <v/>
      </c>
    </row>
    <row r="10">
      <c r="A10" s="4" t="n">
        <v>4</v>
      </c>
      <c r="B10" s="6">
        <f>IF(J9,B9,IF(SIGN(G9)=SIGN(E9),D9,B9))</f>
        <v/>
      </c>
      <c r="C10" s="6">
        <f>IF(J9,C9,IF(SIGN(G9)=SIGN(E9),C9,D9))</f>
        <v/>
      </c>
      <c r="D10" s="6">
        <f>IF(J9,D9,IFERROR(B10-E10*(C10-B10)/(F10-E10),D9))</f>
        <v/>
      </c>
      <c r="E10" s="6">
        <f>B10^2-3*B10+1</f>
        <v/>
      </c>
      <c r="F10" s="6">
        <f>C10^2-3*C10+1</f>
        <v/>
      </c>
      <c r="G10" s="6">
        <f>D10^2-3*D10+1</f>
        <v/>
      </c>
      <c r="H10" s="6">
        <f>ABS(D10-D9)</f>
        <v/>
      </c>
      <c r="I10" s="6">
        <f>IF(ISNUMBER(G10),ABS(G10),"")</f>
        <v/>
      </c>
      <c r="J10" s="4">
        <f>IF(OR(J9,AND(ISNUMBER(H10),H10&lt;$B$4,I10&lt;$B$4)),TRUE,FALSE)</f>
        <v/>
      </c>
      <c r="K10" s="4">
        <f>IF(AND(J10,NOT(J9)),"&lt;= KONVERGEN",IF(J10,"","lanjut"))</f>
        <v/>
      </c>
    </row>
    <row r="11">
      <c r="A11" s="4" t="n">
        <v>5</v>
      </c>
      <c r="B11" s="6">
        <f>IF(J10,B10,IF(SIGN(G10)=SIGN(E10),D10,B10))</f>
        <v/>
      </c>
      <c r="C11" s="6">
        <f>IF(J10,C10,IF(SIGN(G10)=SIGN(E10),C10,D10))</f>
        <v/>
      </c>
      <c r="D11" s="6">
        <f>IF(J10,D10,IFERROR(B11-E11*(C11-B11)/(F11-E11),D10))</f>
        <v/>
      </c>
      <c r="E11" s="6">
        <f>B11^2-3*B11+1</f>
        <v/>
      </c>
      <c r="F11" s="6">
        <f>C11^2-3*C11+1</f>
        <v/>
      </c>
      <c r="G11" s="6">
        <f>D11^2-3*D11+1</f>
        <v/>
      </c>
      <c r="H11" s="6">
        <f>ABS(D11-D10)</f>
        <v/>
      </c>
      <c r="I11" s="6">
        <f>IF(ISNUMBER(G11),ABS(G11),"")</f>
        <v/>
      </c>
      <c r="J11" s="4">
        <f>IF(OR(J10,AND(ISNUMBER(H11),H11&lt;$B$4,I11&lt;$B$4)),TRUE,FALSE)</f>
        <v/>
      </c>
      <c r="K11" s="4">
        <f>IF(AND(J11,NOT(J10)),"&lt;= KONVERGEN",IF(J11,"","lanjut"))</f>
        <v/>
      </c>
    </row>
    <row r="12">
      <c r="A12" s="4" t="n">
        <v>6</v>
      </c>
      <c r="B12" s="6">
        <f>IF(J11,B11,IF(SIGN(G11)=SIGN(E11),D11,B11))</f>
        <v/>
      </c>
      <c r="C12" s="6">
        <f>IF(J11,C11,IF(SIGN(G11)=SIGN(E11),C11,D11))</f>
        <v/>
      </c>
      <c r="D12" s="6">
        <f>IF(J11,D11,IFERROR(B12-E12*(C12-B12)/(F12-E12),D11))</f>
        <v/>
      </c>
      <c r="E12" s="6">
        <f>B12^2-3*B12+1</f>
        <v/>
      </c>
      <c r="F12" s="6">
        <f>C12^2-3*C12+1</f>
        <v/>
      </c>
      <c r="G12" s="6">
        <f>D12^2-3*D12+1</f>
        <v/>
      </c>
      <c r="H12" s="6">
        <f>ABS(D12-D11)</f>
        <v/>
      </c>
      <c r="I12" s="6">
        <f>IF(ISNUMBER(G12),ABS(G12),"")</f>
        <v/>
      </c>
      <c r="J12" s="4">
        <f>IF(OR(J11,AND(ISNUMBER(H12),H12&lt;$B$4,I12&lt;$B$4)),TRUE,FALSE)</f>
        <v/>
      </c>
      <c r="K12" s="4">
        <f>IF(AND(J12,NOT(J11)),"&lt;= KONVERGEN",IF(J12,"","lanjut"))</f>
        <v/>
      </c>
    </row>
    <row r="13">
      <c r="A13" s="4" t="n">
        <v>7</v>
      </c>
      <c r="B13" s="6">
        <f>IF(J12,B12,IF(SIGN(G12)=SIGN(E12),D12,B12))</f>
        <v/>
      </c>
      <c r="C13" s="6">
        <f>IF(J12,C12,IF(SIGN(G12)=SIGN(E12),C12,D12))</f>
        <v/>
      </c>
      <c r="D13" s="6">
        <f>IF(J12,D12,IFERROR(B13-E13*(C13-B13)/(F13-E13),D12))</f>
        <v/>
      </c>
      <c r="E13" s="6">
        <f>B13^2-3*B13+1</f>
        <v/>
      </c>
      <c r="F13" s="6">
        <f>C13^2-3*C13+1</f>
        <v/>
      </c>
      <c r="G13" s="6">
        <f>D13^2-3*D13+1</f>
        <v/>
      </c>
      <c r="H13" s="6">
        <f>ABS(D13-D12)</f>
        <v/>
      </c>
      <c r="I13" s="6">
        <f>IF(ISNUMBER(G13),ABS(G13),"")</f>
        <v/>
      </c>
      <c r="J13" s="4">
        <f>IF(OR(J12,AND(ISNUMBER(H13),H13&lt;$B$4,I13&lt;$B$4)),TRUE,FALSE)</f>
        <v/>
      </c>
      <c r="K13" s="4">
        <f>IF(AND(J13,NOT(J12)),"&lt;= KONVERGEN",IF(J13,"","lanjut"))</f>
        <v/>
      </c>
    </row>
    <row r="14">
      <c r="A14" s="4" t="n">
        <v>8</v>
      </c>
      <c r="B14" s="6">
        <f>IF(J13,B13,IF(SIGN(G13)=SIGN(E13),D13,B13))</f>
        <v/>
      </c>
      <c r="C14" s="6">
        <f>IF(J13,C13,IF(SIGN(G13)=SIGN(E13),C13,D13))</f>
        <v/>
      </c>
      <c r="D14" s="6">
        <f>IF(J13,D13,IFERROR(B14-E14*(C14-B14)/(F14-E14),D13))</f>
        <v/>
      </c>
      <c r="E14" s="6">
        <f>B14^2-3*B14+1</f>
        <v/>
      </c>
      <c r="F14" s="6">
        <f>C14^2-3*C14+1</f>
        <v/>
      </c>
      <c r="G14" s="6">
        <f>D14^2-3*D14+1</f>
        <v/>
      </c>
      <c r="H14" s="6">
        <f>ABS(D14-D13)</f>
        <v/>
      </c>
      <c r="I14" s="6">
        <f>IF(ISNUMBER(G14),ABS(G14),"")</f>
        <v/>
      </c>
      <c r="J14" s="4">
        <f>IF(OR(J13,AND(ISNUMBER(H14),H14&lt;$B$4,I14&lt;$B$4)),TRUE,FALSE)</f>
        <v/>
      </c>
      <c r="K14" s="4">
        <f>IF(AND(J14,NOT(J13)),"&lt;= KONVERGEN",IF(J14,"","lanjut"))</f>
        <v/>
      </c>
    </row>
    <row r="15">
      <c r="A15" s="4" t="n">
        <v>9</v>
      </c>
      <c r="B15" s="6">
        <f>IF(J14,B14,IF(SIGN(G14)=SIGN(E14),D14,B14))</f>
        <v/>
      </c>
      <c r="C15" s="6">
        <f>IF(J14,C14,IF(SIGN(G14)=SIGN(E14),C14,D14))</f>
        <v/>
      </c>
      <c r="D15" s="6">
        <f>IF(J14,D14,IFERROR(B15-E15*(C15-B15)/(F15-E15),D14))</f>
        <v/>
      </c>
      <c r="E15" s="6">
        <f>B15^2-3*B15+1</f>
        <v/>
      </c>
      <c r="F15" s="6">
        <f>C15^2-3*C15+1</f>
        <v/>
      </c>
      <c r="G15" s="6">
        <f>D15^2-3*D15+1</f>
        <v/>
      </c>
      <c r="H15" s="6">
        <f>ABS(D15-D14)</f>
        <v/>
      </c>
      <c r="I15" s="6">
        <f>IF(ISNUMBER(G15),ABS(G15),"")</f>
        <v/>
      </c>
      <c r="J15" s="4">
        <f>IF(OR(J14,AND(ISNUMBER(H15),H15&lt;$B$4,I15&lt;$B$4)),TRUE,FALSE)</f>
        <v/>
      </c>
      <c r="K15" s="4">
        <f>IF(AND(J15,NOT(J14)),"&lt;= KONVERGEN",IF(J15,"","lanjut"))</f>
        <v/>
      </c>
    </row>
    <row r="16">
      <c r="A16" s="4" t="n">
        <v>10</v>
      </c>
      <c r="B16" s="6">
        <f>IF(J15,B15,IF(SIGN(G15)=SIGN(E15),D15,B15))</f>
        <v/>
      </c>
      <c r="C16" s="6">
        <f>IF(J15,C15,IF(SIGN(G15)=SIGN(E15),C15,D15))</f>
        <v/>
      </c>
      <c r="D16" s="6">
        <f>IF(J15,D15,IFERROR(B16-E16*(C16-B16)/(F16-E16),D15))</f>
        <v/>
      </c>
      <c r="E16" s="6">
        <f>B16^2-3*B16+1</f>
        <v/>
      </c>
      <c r="F16" s="6">
        <f>C16^2-3*C16+1</f>
        <v/>
      </c>
      <c r="G16" s="6">
        <f>D16^2-3*D16+1</f>
        <v/>
      </c>
      <c r="H16" s="6">
        <f>ABS(D16-D15)</f>
        <v/>
      </c>
      <c r="I16" s="6">
        <f>IF(ISNUMBER(G16),ABS(G16),"")</f>
        <v/>
      </c>
      <c r="J16" s="4">
        <f>IF(OR(J15,AND(ISNUMBER(H16),H16&lt;$B$4,I16&lt;$B$4)),TRUE,FALSE)</f>
        <v/>
      </c>
      <c r="K16" s="4">
        <f>IF(AND(J16,NOT(J15)),"&lt;= KONVERGEN",IF(J16,"","lanjut"))</f>
        <v/>
      </c>
    </row>
    <row r="17">
      <c r="A17" s="4" t="n">
        <v>11</v>
      </c>
      <c r="B17" s="6">
        <f>IF(J16,B16,IF(SIGN(G16)=SIGN(E16),D16,B16))</f>
        <v/>
      </c>
      <c r="C17" s="6">
        <f>IF(J16,C16,IF(SIGN(G16)=SIGN(E16),C16,D16))</f>
        <v/>
      </c>
      <c r="D17" s="6">
        <f>IF(J16,D16,IFERROR(B17-E17*(C17-B17)/(F17-E17),D16))</f>
        <v/>
      </c>
      <c r="E17" s="6">
        <f>B17^2-3*B17+1</f>
        <v/>
      </c>
      <c r="F17" s="6">
        <f>C17^2-3*C17+1</f>
        <v/>
      </c>
      <c r="G17" s="6">
        <f>D17^2-3*D17+1</f>
        <v/>
      </c>
      <c r="H17" s="6">
        <f>ABS(D17-D16)</f>
        <v/>
      </c>
      <c r="I17" s="6">
        <f>IF(ISNUMBER(G17),ABS(G17),"")</f>
        <v/>
      </c>
      <c r="J17" s="4">
        <f>IF(OR(J16,AND(ISNUMBER(H17),H17&lt;$B$4,I17&lt;$B$4)),TRUE,FALSE)</f>
        <v/>
      </c>
      <c r="K17" s="4">
        <f>IF(AND(J17,NOT(J16)),"&lt;= KONVERGEN",IF(J17,"","lanjut"))</f>
        <v/>
      </c>
    </row>
    <row r="18">
      <c r="A18" s="4" t="n">
        <v>12</v>
      </c>
      <c r="B18" s="6">
        <f>IF(J17,B17,IF(SIGN(G17)=SIGN(E17),D17,B17))</f>
        <v/>
      </c>
      <c r="C18" s="6">
        <f>IF(J17,C17,IF(SIGN(G17)=SIGN(E17),C17,D17))</f>
        <v/>
      </c>
      <c r="D18" s="6">
        <f>IF(J17,D17,IFERROR(B18-E18*(C18-B18)/(F18-E18),D17))</f>
        <v/>
      </c>
      <c r="E18" s="6">
        <f>B18^2-3*B18+1</f>
        <v/>
      </c>
      <c r="F18" s="6">
        <f>C18^2-3*C18+1</f>
        <v/>
      </c>
      <c r="G18" s="6">
        <f>D18^2-3*D18+1</f>
        <v/>
      </c>
      <c r="H18" s="6">
        <f>ABS(D18-D17)</f>
        <v/>
      </c>
      <c r="I18" s="6">
        <f>IF(ISNUMBER(G18),ABS(G18),"")</f>
        <v/>
      </c>
      <c r="J18" s="4">
        <f>IF(OR(J17,AND(ISNUMBER(H18),H18&lt;$B$4,I18&lt;$B$4)),TRUE,FALSE)</f>
        <v/>
      </c>
      <c r="K18" s="4">
        <f>IF(AND(J18,NOT(J17)),"&lt;= KONVERGEN",IF(J18,"","lanjut"))</f>
        <v/>
      </c>
    </row>
    <row r="19">
      <c r="A19" s="4" t="n">
        <v>13</v>
      </c>
      <c r="B19" s="6">
        <f>IF(J18,B18,IF(SIGN(G18)=SIGN(E18),D18,B18))</f>
        <v/>
      </c>
      <c r="C19" s="6">
        <f>IF(J18,C18,IF(SIGN(G18)=SIGN(E18),C18,D18))</f>
        <v/>
      </c>
      <c r="D19" s="6">
        <f>IF(J18,D18,IFERROR(B19-E19*(C19-B19)/(F19-E19),D18))</f>
        <v/>
      </c>
      <c r="E19" s="6">
        <f>B19^2-3*B19+1</f>
        <v/>
      </c>
      <c r="F19" s="6">
        <f>C19^2-3*C19+1</f>
        <v/>
      </c>
      <c r="G19" s="6">
        <f>D19^2-3*D19+1</f>
        <v/>
      </c>
      <c r="H19" s="6">
        <f>ABS(D19-D18)</f>
        <v/>
      </c>
      <c r="I19" s="6">
        <f>IF(ISNUMBER(G19),ABS(G19),"")</f>
        <v/>
      </c>
      <c r="J19" s="4">
        <f>IF(OR(J18,AND(ISNUMBER(H19),H19&lt;$B$4,I19&lt;$B$4)),TRUE,FALSE)</f>
        <v/>
      </c>
      <c r="K19" s="4">
        <f>IF(AND(J19,NOT(J18)),"&lt;= KONVERGEN",IF(J19,"","lanjut"))</f>
        <v/>
      </c>
    </row>
    <row r="20">
      <c r="A20" s="4" t="n">
        <v>14</v>
      </c>
      <c r="B20" s="6">
        <f>IF(J19,B19,IF(SIGN(G19)=SIGN(E19),D19,B19))</f>
        <v/>
      </c>
      <c r="C20" s="6">
        <f>IF(J19,C19,IF(SIGN(G19)=SIGN(E19),C19,D19))</f>
        <v/>
      </c>
      <c r="D20" s="6">
        <f>IF(J19,D19,IFERROR(B20-E20*(C20-B20)/(F20-E20),D19))</f>
        <v/>
      </c>
      <c r="E20" s="6">
        <f>B20^2-3*B20+1</f>
        <v/>
      </c>
      <c r="F20" s="6">
        <f>C20^2-3*C20+1</f>
        <v/>
      </c>
      <c r="G20" s="6">
        <f>D20^2-3*D20+1</f>
        <v/>
      </c>
      <c r="H20" s="6">
        <f>ABS(D20-D19)</f>
        <v/>
      </c>
      <c r="I20" s="6">
        <f>IF(ISNUMBER(G20),ABS(G20),"")</f>
        <v/>
      </c>
      <c r="J20" s="4">
        <f>IF(OR(J19,AND(ISNUMBER(H20),H20&lt;$B$4,I20&lt;$B$4)),TRUE,FALSE)</f>
        <v/>
      </c>
      <c r="K20" s="4">
        <f>IF(AND(J20,NOT(J19)),"&lt;= KONVERGEN",IF(J20,"","lanjut"))</f>
        <v/>
      </c>
    </row>
    <row r="21">
      <c r="A21" s="4" t="n">
        <v>15</v>
      </c>
      <c r="B21" s="6">
        <f>IF(J20,B20,IF(SIGN(G20)=SIGN(E20),D20,B20))</f>
        <v/>
      </c>
      <c r="C21" s="6">
        <f>IF(J20,C20,IF(SIGN(G20)=SIGN(E20),C20,D20))</f>
        <v/>
      </c>
      <c r="D21" s="6">
        <f>IF(J20,D20,IFERROR(B21-E21*(C21-B21)/(F21-E21),D20))</f>
        <v/>
      </c>
      <c r="E21" s="6">
        <f>B21^2-3*B21+1</f>
        <v/>
      </c>
      <c r="F21" s="6">
        <f>C21^2-3*C21+1</f>
        <v/>
      </c>
      <c r="G21" s="6">
        <f>D21^2-3*D21+1</f>
        <v/>
      </c>
      <c r="H21" s="6">
        <f>ABS(D21-D20)</f>
        <v/>
      </c>
      <c r="I21" s="6">
        <f>IF(ISNUMBER(G21),ABS(G21),"")</f>
        <v/>
      </c>
      <c r="J21" s="4">
        <f>IF(OR(J20,AND(ISNUMBER(H21),H21&lt;$B$4,I21&lt;$B$4)),TRUE,FALSE)</f>
        <v/>
      </c>
      <c r="K21" s="4">
        <f>IF(AND(J21,NOT(J20)),"&lt;= KONVERGEN",IF(J21,"","lanjut"))</f>
        <v/>
      </c>
    </row>
    <row r="22">
      <c r="A22" s="4" t="n">
        <v>16</v>
      </c>
      <c r="B22" s="6">
        <f>IF(J21,B21,IF(SIGN(G21)=SIGN(E21),D21,B21))</f>
        <v/>
      </c>
      <c r="C22" s="6">
        <f>IF(J21,C21,IF(SIGN(G21)=SIGN(E21),C21,D21))</f>
        <v/>
      </c>
      <c r="D22" s="6">
        <f>IF(J21,D21,IFERROR(B22-E22*(C22-B22)/(F22-E22),D21))</f>
        <v/>
      </c>
      <c r="E22" s="6">
        <f>B22^2-3*B22+1</f>
        <v/>
      </c>
      <c r="F22" s="6">
        <f>C22^2-3*C22+1</f>
        <v/>
      </c>
      <c r="G22" s="6">
        <f>D22^2-3*D22+1</f>
        <v/>
      </c>
      <c r="H22" s="6">
        <f>ABS(D22-D21)</f>
        <v/>
      </c>
      <c r="I22" s="6">
        <f>IF(ISNUMBER(G22),ABS(G22),"")</f>
        <v/>
      </c>
      <c r="J22" s="4">
        <f>IF(OR(J21,AND(ISNUMBER(H22),H22&lt;$B$4,I22&lt;$B$4)),TRUE,FALSE)</f>
        <v/>
      </c>
      <c r="K22" s="4">
        <f>IF(AND(J22,NOT(J21)),"&lt;= KONVERGEN",IF(J22,"","lanjut"))</f>
        <v/>
      </c>
    </row>
    <row r="23">
      <c r="A23" s="4" t="n">
        <v>17</v>
      </c>
      <c r="B23" s="6">
        <f>IF(J22,B22,IF(SIGN(G22)=SIGN(E22),D22,B22))</f>
        <v/>
      </c>
      <c r="C23" s="6">
        <f>IF(J22,C22,IF(SIGN(G22)=SIGN(E22),C22,D22))</f>
        <v/>
      </c>
      <c r="D23" s="6">
        <f>IF(J22,D22,IFERROR(B23-E23*(C23-B23)/(F23-E23),D22))</f>
        <v/>
      </c>
      <c r="E23" s="6">
        <f>B23^2-3*B23+1</f>
        <v/>
      </c>
      <c r="F23" s="6">
        <f>C23^2-3*C23+1</f>
        <v/>
      </c>
      <c r="G23" s="6">
        <f>D23^2-3*D23+1</f>
        <v/>
      </c>
      <c r="H23" s="6">
        <f>ABS(D23-D22)</f>
        <v/>
      </c>
      <c r="I23" s="6">
        <f>IF(ISNUMBER(G23),ABS(G23),"")</f>
        <v/>
      </c>
      <c r="J23" s="4">
        <f>IF(OR(J22,AND(ISNUMBER(H23),H23&lt;$B$4,I23&lt;$B$4)),TRUE,FALSE)</f>
        <v/>
      </c>
      <c r="K23" s="4">
        <f>IF(AND(J23,NOT(J22)),"&lt;= KONVERGEN",IF(J23,"","lanjut"))</f>
        <v/>
      </c>
    </row>
    <row r="24">
      <c r="A24" s="4" t="n">
        <v>18</v>
      </c>
      <c r="B24" s="6">
        <f>IF(J23,B23,IF(SIGN(G23)=SIGN(E23),D23,B23))</f>
        <v/>
      </c>
      <c r="C24" s="6">
        <f>IF(J23,C23,IF(SIGN(G23)=SIGN(E23),C23,D23))</f>
        <v/>
      </c>
      <c r="D24" s="6">
        <f>IF(J23,D23,IFERROR(B24-E24*(C24-B24)/(F24-E24),D23))</f>
        <v/>
      </c>
      <c r="E24" s="6">
        <f>B24^2-3*B24+1</f>
        <v/>
      </c>
      <c r="F24" s="6">
        <f>C24^2-3*C24+1</f>
        <v/>
      </c>
      <c r="G24" s="6">
        <f>D24^2-3*D24+1</f>
        <v/>
      </c>
      <c r="H24" s="6">
        <f>ABS(D24-D23)</f>
        <v/>
      </c>
      <c r="I24" s="6">
        <f>IF(ISNUMBER(G24),ABS(G24),"")</f>
        <v/>
      </c>
      <c r="J24" s="4">
        <f>IF(OR(J23,AND(ISNUMBER(H24),H24&lt;$B$4,I24&lt;$B$4)),TRUE,FALSE)</f>
        <v/>
      </c>
      <c r="K24" s="4">
        <f>IF(AND(J24,NOT(J23)),"&lt;= KONVERGEN",IF(J24,"","lanjut"))</f>
        <v/>
      </c>
    </row>
    <row r="25">
      <c r="A25" s="4" t="n">
        <v>19</v>
      </c>
      <c r="B25" s="6">
        <f>IF(J24,B24,IF(SIGN(G24)=SIGN(E24),D24,B24))</f>
        <v/>
      </c>
      <c r="C25" s="6">
        <f>IF(J24,C24,IF(SIGN(G24)=SIGN(E24),C24,D24))</f>
        <v/>
      </c>
      <c r="D25" s="6">
        <f>IF(J24,D24,IFERROR(B25-E25*(C25-B25)/(F25-E25),D24))</f>
        <v/>
      </c>
      <c r="E25" s="6">
        <f>B25^2-3*B25+1</f>
        <v/>
      </c>
      <c r="F25" s="6">
        <f>C25^2-3*C25+1</f>
        <v/>
      </c>
      <c r="G25" s="6">
        <f>D25^2-3*D25+1</f>
        <v/>
      </c>
      <c r="H25" s="6">
        <f>ABS(D25-D24)</f>
        <v/>
      </c>
      <c r="I25" s="6">
        <f>IF(ISNUMBER(G25),ABS(G25),"")</f>
        <v/>
      </c>
      <c r="J25" s="4">
        <f>IF(OR(J24,AND(ISNUMBER(H25),H25&lt;$B$4,I25&lt;$B$4)),TRUE,FALSE)</f>
        <v/>
      </c>
      <c r="K25" s="4">
        <f>IF(AND(J25,NOT(J24)),"&lt;= KONVERGEN",IF(J25,"","lanjut"))</f>
        <v/>
      </c>
    </row>
    <row r="26">
      <c r="A26" s="4" t="n">
        <v>20</v>
      </c>
      <c r="B26" s="6">
        <f>IF(J25,B25,IF(SIGN(G25)=SIGN(E25),D25,B25))</f>
        <v/>
      </c>
      <c r="C26" s="6">
        <f>IF(J25,C25,IF(SIGN(G25)=SIGN(E25),C25,D25))</f>
        <v/>
      </c>
      <c r="D26" s="6">
        <f>IF(J25,D25,IFERROR(B26-E26*(C26-B26)/(F26-E26),D25))</f>
        <v/>
      </c>
      <c r="E26" s="6">
        <f>B26^2-3*B26+1</f>
        <v/>
      </c>
      <c r="F26" s="6">
        <f>C26^2-3*C26+1</f>
        <v/>
      </c>
      <c r="G26" s="6">
        <f>D26^2-3*D26+1</f>
        <v/>
      </c>
      <c r="H26" s="6">
        <f>ABS(D26-D25)</f>
        <v/>
      </c>
      <c r="I26" s="6">
        <f>IF(ISNUMBER(G26),ABS(G26),"")</f>
        <v/>
      </c>
      <c r="J26" s="4">
        <f>IF(OR(J25,AND(ISNUMBER(H26),H26&lt;$B$4,I26&lt;$B$4)),TRUE,FALSE)</f>
        <v/>
      </c>
      <c r="K26" s="4">
        <f>IF(AND(J26,NOT(J25)),"&lt;= KONVERGEN",IF(J26,"","lanjut"))</f>
        <v/>
      </c>
    </row>
    <row r="28">
      <c r="A28" s="9" t="inlineStr">
        <is>
          <t>Akar:</t>
        </is>
      </c>
      <c r="B28" s="11">
        <f>D26</f>
        <v/>
      </c>
      <c r="D28" s="7" t="inlineStr">
        <is>
          <t>f(akar):</t>
        </is>
      </c>
      <c r="E28" s="12">
        <f>G26</f>
        <v/>
      </c>
    </row>
    <row r="29">
      <c r="A29" t="inlineStr">
        <is>
          <t>Jumlah iterasi sampai konvergen:</t>
        </is>
      </c>
      <c r="D29" s="13">
        <f>IFERROR(MATCH(TRUE,J7:J26,0),"-")</f>
        <v/>
      </c>
    </row>
  </sheetData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5" customWidth="1" min="8" max="8"/>
    <col width="13" customWidth="1" min="9" max="9"/>
    <col width="9" customWidth="1" min="10" max="10"/>
    <col width="14" customWidth="1" min="11" max="11"/>
  </cols>
  <sheetData>
    <row r="1">
      <c r="A1" s="8" t="inlineStr">
        <is>
          <t>SOAL 2 - METODE REGULA FALSI</t>
        </is>
      </c>
    </row>
    <row r="2">
      <c r="A2" s="9" t="inlineStr">
        <is>
          <t>f(x) = tan(pi - x) - x = 0</t>
        </is>
      </c>
    </row>
    <row r="3">
      <c r="A3" s="7" t="inlineStr">
        <is>
          <t>Interval:</t>
        </is>
      </c>
      <c r="B3" t="inlineStr">
        <is>
          <t>a =</t>
        </is>
      </c>
      <c r="C3" s="10" t="n">
        <v>2</v>
      </c>
      <c r="D3" t="inlineStr">
        <is>
          <t>b =</t>
        </is>
      </c>
      <c r="E3" s="10" t="n">
        <v>2.1</v>
      </c>
    </row>
    <row r="4">
      <c r="A4" s="7" t="inlineStr">
        <is>
          <t>Toleransi:</t>
        </is>
      </c>
      <c r="B4" s="10" t="n">
        <v>0.001</v>
      </c>
      <c r="C4" t="inlineStr">
        <is>
          <t>berhenti bila |x(k) - x(k-1)| &lt; tol  dan  |f(x)| &lt; tol</t>
        </is>
      </c>
    </row>
    <row r="6">
      <c r="A6" s="3" t="inlineStr">
        <is>
          <t>Iterasi k</t>
        </is>
      </c>
      <c r="B6" s="3" t="inlineStr">
        <is>
          <t>a</t>
        </is>
      </c>
      <c r="C6" s="3" t="inlineStr">
        <is>
          <t>b</t>
        </is>
      </c>
      <c r="D6" s="3" t="inlineStr">
        <is>
          <t>x(k)</t>
        </is>
      </c>
      <c r="E6" s="3" t="inlineStr">
        <is>
          <t>f(a)</t>
        </is>
      </c>
      <c r="F6" s="3" t="inlineStr">
        <is>
          <t>f(b)</t>
        </is>
      </c>
      <c r="G6" s="3" t="inlineStr">
        <is>
          <t>f(x(k))</t>
        </is>
      </c>
      <c r="H6" s="3" t="inlineStr">
        <is>
          <t>|x(k)-x(k-1)|</t>
        </is>
      </c>
      <c r="I6" s="3" t="inlineStr">
        <is>
          <t>|f(x(k))|</t>
        </is>
      </c>
      <c r="J6" s="3" t="inlineStr">
        <is>
          <t>selesai?</t>
        </is>
      </c>
      <c r="K6" s="3" t="inlineStr">
        <is>
          <t>Status</t>
        </is>
      </c>
    </row>
    <row r="7">
      <c r="A7" s="4" t="n">
        <v>1</v>
      </c>
      <c r="B7" s="6">
        <f>C3</f>
        <v/>
      </c>
      <c r="C7" s="6">
        <f>E3</f>
        <v/>
      </c>
      <c r="D7" s="6">
        <f>IFERROR(B7-E7*(C7-B7)/(F7-E7),"")</f>
        <v/>
      </c>
      <c r="E7" s="6">
        <f>TAN(PI()-B7)-B7</f>
        <v/>
      </c>
      <c r="F7" s="6">
        <f>TAN(PI()-C7)-C7</f>
        <v/>
      </c>
      <c r="G7" s="6">
        <f>TAN(PI()-D7)-D7</f>
        <v/>
      </c>
      <c r="H7" s="6" t="n"/>
      <c r="I7" s="6">
        <f>IF(ISNUMBER(G7),ABS(G7),"")</f>
        <v/>
      </c>
      <c r="J7" s="4">
        <f>IF(AND(ISNUMBER(H7),H7&lt;$B$4,I7&lt;$B$4),TRUE,FALSE)</f>
        <v/>
      </c>
      <c r="K7" s="4">
        <f>IF(J7,"&lt;= KONVERGEN","lanjut")</f>
        <v/>
      </c>
    </row>
    <row r="8">
      <c r="A8" s="4" t="n">
        <v>2</v>
      </c>
      <c r="B8" s="6">
        <f>IF(J7,B7,IF(SIGN(G7)=SIGN(E7),D7,B7))</f>
        <v/>
      </c>
      <c r="C8" s="6">
        <f>IF(J7,C7,IF(SIGN(G7)=SIGN(E7),C7,D7))</f>
        <v/>
      </c>
      <c r="D8" s="6">
        <f>IF(J7,D7,IFERROR(B8-E8*(C8-B8)/(F8-E8),D7))</f>
        <v/>
      </c>
      <c r="E8" s="6">
        <f>TAN(PI()-B8)-B8</f>
        <v/>
      </c>
      <c r="F8" s="6">
        <f>TAN(PI()-C8)-C8</f>
        <v/>
      </c>
      <c r="G8" s="6">
        <f>TAN(PI()-D8)-D8</f>
        <v/>
      </c>
      <c r="H8" s="6">
        <f>ABS(D8-D7)</f>
        <v/>
      </c>
      <c r="I8" s="6">
        <f>IF(ISNUMBER(G8),ABS(G8),"")</f>
        <v/>
      </c>
      <c r="J8" s="4">
        <f>IF(OR(J7,AND(ISNUMBER(H8),H8&lt;$B$4,I8&lt;$B$4)),TRUE,FALSE)</f>
        <v/>
      </c>
      <c r="K8" s="4">
        <f>IF(AND(J8,NOT(J7)),"&lt;= KONVERGEN",IF(J8,"","lanjut"))</f>
        <v/>
      </c>
    </row>
    <row r="9">
      <c r="A9" s="4" t="n">
        <v>3</v>
      </c>
      <c r="B9" s="6">
        <f>IF(J8,B8,IF(SIGN(G8)=SIGN(E8),D8,B8))</f>
        <v/>
      </c>
      <c r="C9" s="6">
        <f>IF(J8,C8,IF(SIGN(G8)=SIGN(E8),C8,D8))</f>
        <v/>
      </c>
      <c r="D9" s="6">
        <f>IF(J8,D8,IFERROR(B9-E9*(C9-B9)/(F9-E9),D8))</f>
        <v/>
      </c>
      <c r="E9" s="6">
        <f>TAN(PI()-B9)-B9</f>
        <v/>
      </c>
      <c r="F9" s="6">
        <f>TAN(PI()-C9)-C9</f>
        <v/>
      </c>
      <c r="G9" s="6">
        <f>TAN(PI()-D9)-D9</f>
        <v/>
      </c>
      <c r="H9" s="6">
        <f>ABS(D9-D8)</f>
        <v/>
      </c>
      <c r="I9" s="6">
        <f>IF(ISNUMBER(G9),ABS(G9),"")</f>
        <v/>
      </c>
      <c r="J9" s="4">
        <f>IF(OR(J8,AND(ISNUMBER(H9),H9&lt;$B$4,I9&lt;$B$4)),TRUE,FALSE)</f>
        <v/>
      </c>
      <c r="K9" s="4">
        <f>IF(AND(J9,NOT(J8)),"&lt;= KONVERGEN",IF(J9,"","lanjut"))</f>
        <v/>
      </c>
    </row>
    <row r="10">
      <c r="A10" s="4" t="n">
        <v>4</v>
      </c>
      <c r="B10" s="6">
        <f>IF(J9,B9,IF(SIGN(G9)=SIGN(E9),D9,B9))</f>
        <v/>
      </c>
      <c r="C10" s="6">
        <f>IF(J9,C9,IF(SIGN(G9)=SIGN(E9),C9,D9))</f>
        <v/>
      </c>
      <c r="D10" s="6">
        <f>IF(J9,D9,IFERROR(B10-E10*(C10-B10)/(F10-E10),D9))</f>
        <v/>
      </c>
      <c r="E10" s="6">
        <f>TAN(PI()-B10)-B10</f>
        <v/>
      </c>
      <c r="F10" s="6">
        <f>TAN(PI()-C10)-C10</f>
        <v/>
      </c>
      <c r="G10" s="6">
        <f>TAN(PI()-D10)-D10</f>
        <v/>
      </c>
      <c r="H10" s="6">
        <f>ABS(D10-D9)</f>
        <v/>
      </c>
      <c r="I10" s="6">
        <f>IF(ISNUMBER(G10),ABS(G10),"")</f>
        <v/>
      </c>
      <c r="J10" s="4">
        <f>IF(OR(J9,AND(ISNUMBER(H10),H10&lt;$B$4,I10&lt;$B$4)),TRUE,FALSE)</f>
        <v/>
      </c>
      <c r="K10" s="4">
        <f>IF(AND(J10,NOT(J9)),"&lt;= KONVERGEN",IF(J10,"","lanjut"))</f>
        <v/>
      </c>
    </row>
    <row r="11">
      <c r="A11" s="4" t="n">
        <v>5</v>
      </c>
      <c r="B11" s="6">
        <f>IF(J10,B10,IF(SIGN(G10)=SIGN(E10),D10,B10))</f>
        <v/>
      </c>
      <c r="C11" s="6">
        <f>IF(J10,C10,IF(SIGN(G10)=SIGN(E10),C10,D10))</f>
        <v/>
      </c>
      <c r="D11" s="6">
        <f>IF(J10,D10,IFERROR(B11-E11*(C11-B11)/(F11-E11),D10))</f>
        <v/>
      </c>
      <c r="E11" s="6">
        <f>TAN(PI()-B11)-B11</f>
        <v/>
      </c>
      <c r="F11" s="6">
        <f>TAN(PI()-C11)-C11</f>
        <v/>
      </c>
      <c r="G11" s="6">
        <f>TAN(PI()-D11)-D11</f>
        <v/>
      </c>
      <c r="H11" s="6">
        <f>ABS(D11-D10)</f>
        <v/>
      </c>
      <c r="I11" s="6">
        <f>IF(ISNUMBER(G11),ABS(G11),"")</f>
        <v/>
      </c>
      <c r="J11" s="4">
        <f>IF(OR(J10,AND(ISNUMBER(H11),H11&lt;$B$4,I11&lt;$B$4)),TRUE,FALSE)</f>
        <v/>
      </c>
      <c r="K11" s="4">
        <f>IF(AND(J11,NOT(J10)),"&lt;= KONVERGEN",IF(J11,"","lanjut"))</f>
        <v/>
      </c>
    </row>
    <row r="12">
      <c r="A12" s="4" t="n">
        <v>6</v>
      </c>
      <c r="B12" s="6">
        <f>IF(J11,B11,IF(SIGN(G11)=SIGN(E11),D11,B11))</f>
        <v/>
      </c>
      <c r="C12" s="6">
        <f>IF(J11,C11,IF(SIGN(G11)=SIGN(E11),C11,D11))</f>
        <v/>
      </c>
      <c r="D12" s="6">
        <f>IF(J11,D11,IFERROR(B12-E12*(C12-B12)/(F12-E12),D11))</f>
        <v/>
      </c>
      <c r="E12" s="6">
        <f>TAN(PI()-B12)-B12</f>
        <v/>
      </c>
      <c r="F12" s="6">
        <f>TAN(PI()-C12)-C12</f>
        <v/>
      </c>
      <c r="G12" s="6">
        <f>TAN(PI()-D12)-D12</f>
        <v/>
      </c>
      <c r="H12" s="6">
        <f>ABS(D12-D11)</f>
        <v/>
      </c>
      <c r="I12" s="6">
        <f>IF(ISNUMBER(G12),ABS(G12),"")</f>
        <v/>
      </c>
      <c r="J12" s="4">
        <f>IF(OR(J11,AND(ISNUMBER(H12),H12&lt;$B$4,I12&lt;$B$4)),TRUE,FALSE)</f>
        <v/>
      </c>
      <c r="K12" s="4">
        <f>IF(AND(J12,NOT(J11)),"&lt;= KONVERGEN",IF(J12,"","lanjut"))</f>
        <v/>
      </c>
    </row>
    <row r="13">
      <c r="A13" s="4" t="n">
        <v>7</v>
      </c>
      <c r="B13" s="6">
        <f>IF(J12,B12,IF(SIGN(G12)=SIGN(E12),D12,B12))</f>
        <v/>
      </c>
      <c r="C13" s="6">
        <f>IF(J12,C12,IF(SIGN(G12)=SIGN(E12),C12,D12))</f>
        <v/>
      </c>
      <c r="D13" s="6">
        <f>IF(J12,D12,IFERROR(B13-E13*(C13-B13)/(F13-E13),D12))</f>
        <v/>
      </c>
      <c r="E13" s="6">
        <f>TAN(PI()-B13)-B13</f>
        <v/>
      </c>
      <c r="F13" s="6">
        <f>TAN(PI()-C13)-C13</f>
        <v/>
      </c>
      <c r="G13" s="6">
        <f>TAN(PI()-D13)-D13</f>
        <v/>
      </c>
      <c r="H13" s="6">
        <f>ABS(D13-D12)</f>
        <v/>
      </c>
      <c r="I13" s="6">
        <f>IF(ISNUMBER(G13),ABS(G13),"")</f>
        <v/>
      </c>
      <c r="J13" s="4">
        <f>IF(OR(J12,AND(ISNUMBER(H13),H13&lt;$B$4,I13&lt;$B$4)),TRUE,FALSE)</f>
        <v/>
      </c>
      <c r="K13" s="4">
        <f>IF(AND(J13,NOT(J12)),"&lt;= KONVERGEN",IF(J13,"","lanjut"))</f>
        <v/>
      </c>
    </row>
    <row r="14">
      <c r="A14" s="4" t="n">
        <v>8</v>
      </c>
      <c r="B14" s="6">
        <f>IF(J13,B13,IF(SIGN(G13)=SIGN(E13),D13,B13))</f>
        <v/>
      </c>
      <c r="C14" s="6">
        <f>IF(J13,C13,IF(SIGN(G13)=SIGN(E13),C13,D13))</f>
        <v/>
      </c>
      <c r="D14" s="6">
        <f>IF(J13,D13,IFERROR(B14-E14*(C14-B14)/(F14-E14),D13))</f>
        <v/>
      </c>
      <c r="E14" s="6">
        <f>TAN(PI()-B14)-B14</f>
        <v/>
      </c>
      <c r="F14" s="6">
        <f>TAN(PI()-C14)-C14</f>
        <v/>
      </c>
      <c r="G14" s="6">
        <f>TAN(PI()-D14)-D14</f>
        <v/>
      </c>
      <c r="H14" s="6">
        <f>ABS(D14-D13)</f>
        <v/>
      </c>
      <c r="I14" s="6">
        <f>IF(ISNUMBER(G14),ABS(G14),"")</f>
        <v/>
      </c>
      <c r="J14" s="4">
        <f>IF(OR(J13,AND(ISNUMBER(H14),H14&lt;$B$4,I14&lt;$B$4)),TRUE,FALSE)</f>
        <v/>
      </c>
      <c r="K14" s="4">
        <f>IF(AND(J14,NOT(J13)),"&lt;= KONVERGEN",IF(J14,"","lanjut"))</f>
        <v/>
      </c>
    </row>
    <row r="15">
      <c r="A15" s="4" t="n">
        <v>9</v>
      </c>
      <c r="B15" s="6">
        <f>IF(J14,B14,IF(SIGN(G14)=SIGN(E14),D14,B14))</f>
        <v/>
      </c>
      <c r="C15" s="6">
        <f>IF(J14,C14,IF(SIGN(G14)=SIGN(E14),C14,D14))</f>
        <v/>
      </c>
      <c r="D15" s="6">
        <f>IF(J14,D14,IFERROR(B15-E15*(C15-B15)/(F15-E15),D14))</f>
        <v/>
      </c>
      <c r="E15" s="6">
        <f>TAN(PI()-B15)-B15</f>
        <v/>
      </c>
      <c r="F15" s="6">
        <f>TAN(PI()-C15)-C15</f>
        <v/>
      </c>
      <c r="G15" s="6">
        <f>TAN(PI()-D15)-D15</f>
        <v/>
      </c>
      <c r="H15" s="6">
        <f>ABS(D15-D14)</f>
        <v/>
      </c>
      <c r="I15" s="6">
        <f>IF(ISNUMBER(G15),ABS(G15),"")</f>
        <v/>
      </c>
      <c r="J15" s="4">
        <f>IF(OR(J14,AND(ISNUMBER(H15),H15&lt;$B$4,I15&lt;$B$4)),TRUE,FALSE)</f>
        <v/>
      </c>
      <c r="K15" s="4">
        <f>IF(AND(J15,NOT(J14)),"&lt;= KONVERGEN",IF(J15,"","lanjut"))</f>
        <v/>
      </c>
    </row>
    <row r="16">
      <c r="A16" s="4" t="n">
        <v>10</v>
      </c>
      <c r="B16" s="6">
        <f>IF(J15,B15,IF(SIGN(G15)=SIGN(E15),D15,B15))</f>
        <v/>
      </c>
      <c r="C16" s="6">
        <f>IF(J15,C15,IF(SIGN(G15)=SIGN(E15),C15,D15))</f>
        <v/>
      </c>
      <c r="D16" s="6">
        <f>IF(J15,D15,IFERROR(B16-E16*(C16-B16)/(F16-E16),D15))</f>
        <v/>
      </c>
      <c r="E16" s="6">
        <f>TAN(PI()-B16)-B16</f>
        <v/>
      </c>
      <c r="F16" s="6">
        <f>TAN(PI()-C16)-C16</f>
        <v/>
      </c>
      <c r="G16" s="6">
        <f>TAN(PI()-D16)-D16</f>
        <v/>
      </c>
      <c r="H16" s="6">
        <f>ABS(D16-D15)</f>
        <v/>
      </c>
      <c r="I16" s="6">
        <f>IF(ISNUMBER(G16),ABS(G16),"")</f>
        <v/>
      </c>
      <c r="J16" s="4">
        <f>IF(OR(J15,AND(ISNUMBER(H16),H16&lt;$B$4,I16&lt;$B$4)),TRUE,FALSE)</f>
        <v/>
      </c>
      <c r="K16" s="4">
        <f>IF(AND(J16,NOT(J15)),"&lt;= KONVERGEN",IF(J16,"","lanjut"))</f>
        <v/>
      </c>
    </row>
    <row r="17">
      <c r="A17" s="4" t="n">
        <v>11</v>
      </c>
      <c r="B17" s="6">
        <f>IF(J16,B16,IF(SIGN(G16)=SIGN(E16),D16,B16))</f>
        <v/>
      </c>
      <c r="C17" s="6">
        <f>IF(J16,C16,IF(SIGN(G16)=SIGN(E16),C16,D16))</f>
        <v/>
      </c>
      <c r="D17" s="6">
        <f>IF(J16,D16,IFERROR(B17-E17*(C17-B17)/(F17-E17),D16))</f>
        <v/>
      </c>
      <c r="E17" s="6">
        <f>TAN(PI()-B17)-B17</f>
        <v/>
      </c>
      <c r="F17" s="6">
        <f>TAN(PI()-C17)-C17</f>
        <v/>
      </c>
      <c r="G17" s="6">
        <f>TAN(PI()-D17)-D17</f>
        <v/>
      </c>
      <c r="H17" s="6">
        <f>ABS(D17-D16)</f>
        <v/>
      </c>
      <c r="I17" s="6">
        <f>IF(ISNUMBER(G17),ABS(G17),"")</f>
        <v/>
      </c>
      <c r="J17" s="4">
        <f>IF(OR(J16,AND(ISNUMBER(H17),H17&lt;$B$4,I17&lt;$B$4)),TRUE,FALSE)</f>
        <v/>
      </c>
      <c r="K17" s="4">
        <f>IF(AND(J17,NOT(J16)),"&lt;= KONVERGEN",IF(J17,"","lanjut"))</f>
        <v/>
      </c>
    </row>
    <row r="18">
      <c r="A18" s="4" t="n">
        <v>12</v>
      </c>
      <c r="B18" s="6">
        <f>IF(J17,B17,IF(SIGN(G17)=SIGN(E17),D17,B17))</f>
        <v/>
      </c>
      <c r="C18" s="6">
        <f>IF(J17,C17,IF(SIGN(G17)=SIGN(E17),C17,D17))</f>
        <v/>
      </c>
      <c r="D18" s="6">
        <f>IF(J17,D17,IFERROR(B18-E18*(C18-B18)/(F18-E18),D17))</f>
        <v/>
      </c>
      <c r="E18" s="6">
        <f>TAN(PI()-B18)-B18</f>
        <v/>
      </c>
      <c r="F18" s="6">
        <f>TAN(PI()-C18)-C18</f>
        <v/>
      </c>
      <c r="G18" s="6">
        <f>TAN(PI()-D18)-D18</f>
        <v/>
      </c>
      <c r="H18" s="6">
        <f>ABS(D18-D17)</f>
        <v/>
      </c>
      <c r="I18" s="6">
        <f>IF(ISNUMBER(G18),ABS(G18),"")</f>
        <v/>
      </c>
      <c r="J18" s="4">
        <f>IF(OR(J17,AND(ISNUMBER(H18),H18&lt;$B$4,I18&lt;$B$4)),TRUE,FALSE)</f>
        <v/>
      </c>
      <c r="K18" s="4">
        <f>IF(AND(J18,NOT(J17)),"&lt;= KONVERGEN",IF(J18,"","lanjut"))</f>
        <v/>
      </c>
    </row>
    <row r="19">
      <c r="A19" s="4" t="n">
        <v>13</v>
      </c>
      <c r="B19" s="6">
        <f>IF(J18,B18,IF(SIGN(G18)=SIGN(E18),D18,B18))</f>
        <v/>
      </c>
      <c r="C19" s="6">
        <f>IF(J18,C18,IF(SIGN(G18)=SIGN(E18),C18,D18))</f>
        <v/>
      </c>
      <c r="D19" s="6">
        <f>IF(J18,D18,IFERROR(B19-E19*(C19-B19)/(F19-E19),D18))</f>
        <v/>
      </c>
      <c r="E19" s="6">
        <f>TAN(PI()-B19)-B19</f>
        <v/>
      </c>
      <c r="F19" s="6">
        <f>TAN(PI()-C19)-C19</f>
        <v/>
      </c>
      <c r="G19" s="6">
        <f>TAN(PI()-D19)-D19</f>
        <v/>
      </c>
      <c r="H19" s="6">
        <f>ABS(D19-D18)</f>
        <v/>
      </c>
      <c r="I19" s="6">
        <f>IF(ISNUMBER(G19),ABS(G19),"")</f>
        <v/>
      </c>
      <c r="J19" s="4">
        <f>IF(OR(J18,AND(ISNUMBER(H19),H19&lt;$B$4,I19&lt;$B$4)),TRUE,FALSE)</f>
        <v/>
      </c>
      <c r="K19" s="4">
        <f>IF(AND(J19,NOT(J18)),"&lt;= KONVERGEN",IF(J19,"","lanjut"))</f>
        <v/>
      </c>
    </row>
    <row r="20">
      <c r="A20" s="4" t="n">
        <v>14</v>
      </c>
      <c r="B20" s="6">
        <f>IF(J19,B19,IF(SIGN(G19)=SIGN(E19),D19,B19))</f>
        <v/>
      </c>
      <c r="C20" s="6">
        <f>IF(J19,C19,IF(SIGN(G19)=SIGN(E19),C19,D19))</f>
        <v/>
      </c>
      <c r="D20" s="6">
        <f>IF(J19,D19,IFERROR(B20-E20*(C20-B20)/(F20-E20),D19))</f>
        <v/>
      </c>
      <c r="E20" s="6">
        <f>TAN(PI()-B20)-B20</f>
        <v/>
      </c>
      <c r="F20" s="6">
        <f>TAN(PI()-C20)-C20</f>
        <v/>
      </c>
      <c r="G20" s="6">
        <f>TAN(PI()-D20)-D20</f>
        <v/>
      </c>
      <c r="H20" s="6">
        <f>ABS(D20-D19)</f>
        <v/>
      </c>
      <c r="I20" s="6">
        <f>IF(ISNUMBER(G20),ABS(G20),"")</f>
        <v/>
      </c>
      <c r="J20" s="4">
        <f>IF(OR(J19,AND(ISNUMBER(H20),H20&lt;$B$4,I20&lt;$B$4)),TRUE,FALSE)</f>
        <v/>
      </c>
      <c r="K20" s="4">
        <f>IF(AND(J20,NOT(J19)),"&lt;= KONVERGEN",IF(J20,"","lanjut"))</f>
        <v/>
      </c>
    </row>
    <row r="21">
      <c r="A21" s="4" t="n">
        <v>15</v>
      </c>
      <c r="B21" s="6">
        <f>IF(J20,B20,IF(SIGN(G20)=SIGN(E20),D20,B20))</f>
        <v/>
      </c>
      <c r="C21" s="6">
        <f>IF(J20,C20,IF(SIGN(G20)=SIGN(E20),C20,D20))</f>
        <v/>
      </c>
      <c r="D21" s="6">
        <f>IF(J20,D20,IFERROR(B21-E21*(C21-B21)/(F21-E21),D20))</f>
        <v/>
      </c>
      <c r="E21" s="6">
        <f>TAN(PI()-B21)-B21</f>
        <v/>
      </c>
      <c r="F21" s="6">
        <f>TAN(PI()-C21)-C21</f>
        <v/>
      </c>
      <c r="G21" s="6">
        <f>TAN(PI()-D21)-D21</f>
        <v/>
      </c>
      <c r="H21" s="6">
        <f>ABS(D21-D20)</f>
        <v/>
      </c>
      <c r="I21" s="6">
        <f>IF(ISNUMBER(G21),ABS(G21),"")</f>
        <v/>
      </c>
      <c r="J21" s="4">
        <f>IF(OR(J20,AND(ISNUMBER(H21),H21&lt;$B$4,I21&lt;$B$4)),TRUE,FALSE)</f>
        <v/>
      </c>
      <c r="K21" s="4">
        <f>IF(AND(J21,NOT(J20)),"&lt;= KONVERGEN",IF(J21,"","lanjut"))</f>
        <v/>
      </c>
    </row>
    <row r="22">
      <c r="A22" s="4" t="n">
        <v>16</v>
      </c>
      <c r="B22" s="6">
        <f>IF(J21,B21,IF(SIGN(G21)=SIGN(E21),D21,B21))</f>
        <v/>
      </c>
      <c r="C22" s="6">
        <f>IF(J21,C21,IF(SIGN(G21)=SIGN(E21),C21,D21))</f>
        <v/>
      </c>
      <c r="D22" s="6">
        <f>IF(J21,D21,IFERROR(B22-E22*(C22-B22)/(F22-E22),D21))</f>
        <v/>
      </c>
      <c r="E22" s="6">
        <f>TAN(PI()-B22)-B22</f>
        <v/>
      </c>
      <c r="F22" s="6">
        <f>TAN(PI()-C22)-C22</f>
        <v/>
      </c>
      <c r="G22" s="6">
        <f>TAN(PI()-D22)-D22</f>
        <v/>
      </c>
      <c r="H22" s="6">
        <f>ABS(D22-D21)</f>
        <v/>
      </c>
      <c r="I22" s="6">
        <f>IF(ISNUMBER(G22),ABS(G22),"")</f>
        <v/>
      </c>
      <c r="J22" s="4">
        <f>IF(OR(J21,AND(ISNUMBER(H22),H22&lt;$B$4,I22&lt;$B$4)),TRUE,FALSE)</f>
        <v/>
      </c>
      <c r="K22" s="4">
        <f>IF(AND(J22,NOT(J21)),"&lt;= KONVERGEN",IF(J22,"","lanjut"))</f>
        <v/>
      </c>
    </row>
    <row r="23">
      <c r="A23" s="4" t="n">
        <v>17</v>
      </c>
      <c r="B23" s="6">
        <f>IF(J22,B22,IF(SIGN(G22)=SIGN(E22),D22,B22))</f>
        <v/>
      </c>
      <c r="C23" s="6">
        <f>IF(J22,C22,IF(SIGN(G22)=SIGN(E22),C22,D22))</f>
        <v/>
      </c>
      <c r="D23" s="6">
        <f>IF(J22,D22,IFERROR(B23-E23*(C23-B23)/(F23-E23),D22))</f>
        <v/>
      </c>
      <c r="E23" s="6">
        <f>TAN(PI()-B23)-B23</f>
        <v/>
      </c>
      <c r="F23" s="6">
        <f>TAN(PI()-C23)-C23</f>
        <v/>
      </c>
      <c r="G23" s="6">
        <f>TAN(PI()-D23)-D23</f>
        <v/>
      </c>
      <c r="H23" s="6">
        <f>ABS(D23-D22)</f>
        <v/>
      </c>
      <c r="I23" s="6">
        <f>IF(ISNUMBER(G23),ABS(G23),"")</f>
        <v/>
      </c>
      <c r="J23" s="4">
        <f>IF(OR(J22,AND(ISNUMBER(H23),H23&lt;$B$4,I23&lt;$B$4)),TRUE,FALSE)</f>
        <v/>
      </c>
      <c r="K23" s="4">
        <f>IF(AND(J23,NOT(J22)),"&lt;= KONVERGEN",IF(J23,"","lanjut"))</f>
        <v/>
      </c>
    </row>
    <row r="24">
      <c r="A24" s="4" t="n">
        <v>18</v>
      </c>
      <c r="B24" s="6">
        <f>IF(J23,B23,IF(SIGN(G23)=SIGN(E23),D23,B23))</f>
        <v/>
      </c>
      <c r="C24" s="6">
        <f>IF(J23,C23,IF(SIGN(G23)=SIGN(E23),C23,D23))</f>
        <v/>
      </c>
      <c r="D24" s="6">
        <f>IF(J23,D23,IFERROR(B24-E24*(C24-B24)/(F24-E24),D23))</f>
        <v/>
      </c>
      <c r="E24" s="6">
        <f>TAN(PI()-B24)-B24</f>
        <v/>
      </c>
      <c r="F24" s="6">
        <f>TAN(PI()-C24)-C24</f>
        <v/>
      </c>
      <c r="G24" s="6">
        <f>TAN(PI()-D24)-D24</f>
        <v/>
      </c>
      <c r="H24" s="6">
        <f>ABS(D24-D23)</f>
        <v/>
      </c>
      <c r="I24" s="6">
        <f>IF(ISNUMBER(G24),ABS(G24),"")</f>
        <v/>
      </c>
      <c r="J24" s="4">
        <f>IF(OR(J23,AND(ISNUMBER(H24),H24&lt;$B$4,I24&lt;$B$4)),TRUE,FALSE)</f>
        <v/>
      </c>
      <c r="K24" s="4">
        <f>IF(AND(J24,NOT(J23)),"&lt;= KONVERGEN",IF(J24,"","lanjut"))</f>
        <v/>
      </c>
    </row>
    <row r="25">
      <c r="A25" s="4" t="n">
        <v>19</v>
      </c>
      <c r="B25" s="6">
        <f>IF(J24,B24,IF(SIGN(G24)=SIGN(E24),D24,B24))</f>
        <v/>
      </c>
      <c r="C25" s="6">
        <f>IF(J24,C24,IF(SIGN(G24)=SIGN(E24),C24,D24))</f>
        <v/>
      </c>
      <c r="D25" s="6">
        <f>IF(J24,D24,IFERROR(B25-E25*(C25-B25)/(F25-E25),D24))</f>
        <v/>
      </c>
      <c r="E25" s="6">
        <f>TAN(PI()-B25)-B25</f>
        <v/>
      </c>
      <c r="F25" s="6">
        <f>TAN(PI()-C25)-C25</f>
        <v/>
      </c>
      <c r="G25" s="6">
        <f>TAN(PI()-D25)-D25</f>
        <v/>
      </c>
      <c r="H25" s="6">
        <f>ABS(D25-D24)</f>
        <v/>
      </c>
      <c r="I25" s="6">
        <f>IF(ISNUMBER(G25),ABS(G25),"")</f>
        <v/>
      </c>
      <c r="J25" s="4">
        <f>IF(OR(J24,AND(ISNUMBER(H25),H25&lt;$B$4,I25&lt;$B$4)),TRUE,FALSE)</f>
        <v/>
      </c>
      <c r="K25" s="4">
        <f>IF(AND(J25,NOT(J24)),"&lt;= KONVERGEN",IF(J25,"","lanjut"))</f>
        <v/>
      </c>
    </row>
    <row r="26">
      <c r="A26" s="4" t="n">
        <v>20</v>
      </c>
      <c r="B26" s="6">
        <f>IF(J25,B25,IF(SIGN(G25)=SIGN(E25),D25,B25))</f>
        <v/>
      </c>
      <c r="C26" s="6">
        <f>IF(J25,C25,IF(SIGN(G25)=SIGN(E25),C25,D25))</f>
        <v/>
      </c>
      <c r="D26" s="6">
        <f>IF(J25,D25,IFERROR(B26-E26*(C26-B26)/(F26-E26),D25))</f>
        <v/>
      </c>
      <c r="E26" s="6">
        <f>TAN(PI()-B26)-B26</f>
        <v/>
      </c>
      <c r="F26" s="6">
        <f>TAN(PI()-C26)-C26</f>
        <v/>
      </c>
      <c r="G26" s="6">
        <f>TAN(PI()-D26)-D26</f>
        <v/>
      </c>
      <c r="H26" s="6">
        <f>ABS(D26-D25)</f>
        <v/>
      </c>
      <c r="I26" s="6">
        <f>IF(ISNUMBER(G26),ABS(G26),"")</f>
        <v/>
      </c>
      <c r="J26" s="4">
        <f>IF(OR(J25,AND(ISNUMBER(H26),H26&lt;$B$4,I26&lt;$B$4)),TRUE,FALSE)</f>
        <v/>
      </c>
      <c r="K26" s="4">
        <f>IF(AND(J26,NOT(J25)),"&lt;= KONVERGEN",IF(J26,"","lanjut"))</f>
        <v/>
      </c>
    </row>
    <row r="28">
      <c r="A28" s="9" t="inlineStr">
        <is>
          <t>Akar:</t>
        </is>
      </c>
      <c r="B28" s="11">
        <f>D26</f>
        <v/>
      </c>
      <c r="D28" s="7" t="inlineStr">
        <is>
          <t>f(akar):</t>
        </is>
      </c>
      <c r="E28" s="12">
        <f>G26</f>
        <v/>
      </c>
    </row>
    <row r="29">
      <c r="A29" t="inlineStr">
        <is>
          <t>Jumlah iterasi sampai konvergen:</t>
        </is>
      </c>
      <c r="D29" s="13">
        <f>IFERROR(MATCH(TRUE,J7:J26,0),"-")</f>
        <v/>
      </c>
    </row>
  </sheetData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5" customWidth="1" min="8" max="8"/>
    <col width="13" customWidth="1" min="9" max="9"/>
    <col width="9" customWidth="1" min="10" max="10"/>
    <col width="14" customWidth="1" min="11" max="11"/>
  </cols>
  <sheetData>
    <row r="1">
      <c r="A1" s="8" t="inlineStr">
        <is>
          <t>SOAL 3 - METODE REGULA FALSI</t>
        </is>
      </c>
    </row>
    <row r="2">
      <c r="A2" s="9" t="inlineStr">
        <is>
          <t>f(x) = x^3 - x^2 - x + 1 = 0</t>
        </is>
      </c>
    </row>
    <row r="3">
      <c r="A3" s="7" t="inlineStr">
        <is>
          <t>Interval:</t>
        </is>
      </c>
      <c r="B3" t="inlineStr">
        <is>
          <t>a =</t>
        </is>
      </c>
      <c r="C3" s="10" t="n">
        <v>-1.5</v>
      </c>
      <c r="D3" t="inlineStr">
        <is>
          <t>b =</t>
        </is>
      </c>
      <c r="E3" s="10" t="n">
        <v>-0.5</v>
      </c>
    </row>
    <row r="4">
      <c r="A4" s="7" t="inlineStr">
        <is>
          <t>Toleransi:</t>
        </is>
      </c>
      <c r="B4" s="10" t="n">
        <v>0.001</v>
      </c>
      <c r="C4" t="inlineStr">
        <is>
          <t>berhenti bila |x(k) - x(k-1)| &lt; tol  dan  |f(x)| &lt; tol</t>
        </is>
      </c>
    </row>
    <row r="6">
      <c r="A6" s="3" t="inlineStr">
        <is>
          <t>Iterasi k</t>
        </is>
      </c>
      <c r="B6" s="3" t="inlineStr">
        <is>
          <t>a</t>
        </is>
      </c>
      <c r="C6" s="3" t="inlineStr">
        <is>
          <t>b</t>
        </is>
      </c>
      <c r="D6" s="3" t="inlineStr">
        <is>
          <t>x(k)</t>
        </is>
      </c>
      <c r="E6" s="3" t="inlineStr">
        <is>
          <t>f(a)</t>
        </is>
      </c>
      <c r="F6" s="3" t="inlineStr">
        <is>
          <t>f(b)</t>
        </is>
      </c>
      <c r="G6" s="3" t="inlineStr">
        <is>
          <t>f(x(k))</t>
        </is>
      </c>
      <c r="H6" s="3" t="inlineStr">
        <is>
          <t>|x(k)-x(k-1)|</t>
        </is>
      </c>
      <c r="I6" s="3" t="inlineStr">
        <is>
          <t>|f(x(k))|</t>
        </is>
      </c>
      <c r="J6" s="3" t="inlineStr">
        <is>
          <t>selesai?</t>
        </is>
      </c>
      <c r="K6" s="3" t="inlineStr">
        <is>
          <t>Status</t>
        </is>
      </c>
    </row>
    <row r="7">
      <c r="A7" s="4" t="n">
        <v>1</v>
      </c>
      <c r="B7" s="6">
        <f>C3</f>
        <v/>
      </c>
      <c r="C7" s="6">
        <f>E3</f>
        <v/>
      </c>
      <c r="D7" s="6">
        <f>IFERROR(B7-E7*(C7-B7)/(F7-E7),"")</f>
        <v/>
      </c>
      <c r="E7" s="6">
        <f>B7^3-B7^2-B7+1</f>
        <v/>
      </c>
      <c r="F7" s="6">
        <f>C7^3-C7^2-C7+1</f>
        <v/>
      </c>
      <c r="G7" s="6">
        <f>D7^3-D7^2-D7+1</f>
        <v/>
      </c>
      <c r="H7" s="6" t="n"/>
      <c r="I7" s="6">
        <f>IF(ISNUMBER(G7),ABS(G7),"")</f>
        <v/>
      </c>
      <c r="J7" s="4">
        <f>IF(AND(ISNUMBER(H7),H7&lt;$B$4,I7&lt;$B$4),TRUE,FALSE)</f>
        <v/>
      </c>
      <c r="K7" s="4">
        <f>IF(J7,"&lt;= KONVERGEN","lanjut")</f>
        <v/>
      </c>
    </row>
    <row r="8">
      <c r="A8" s="4" t="n">
        <v>2</v>
      </c>
      <c r="B8" s="6">
        <f>IF(J7,B7,IF(SIGN(G7)=SIGN(E7),D7,B7))</f>
        <v/>
      </c>
      <c r="C8" s="6">
        <f>IF(J7,C7,IF(SIGN(G7)=SIGN(E7),C7,D7))</f>
        <v/>
      </c>
      <c r="D8" s="6">
        <f>IF(J7,D7,IFERROR(B8-E8*(C8-B8)/(F8-E8),D7))</f>
        <v/>
      </c>
      <c r="E8" s="6">
        <f>B8^3-B8^2-B8+1</f>
        <v/>
      </c>
      <c r="F8" s="6">
        <f>C8^3-C8^2-C8+1</f>
        <v/>
      </c>
      <c r="G8" s="6">
        <f>D8^3-D8^2-D8+1</f>
        <v/>
      </c>
      <c r="H8" s="6">
        <f>ABS(D8-D7)</f>
        <v/>
      </c>
      <c r="I8" s="6">
        <f>IF(ISNUMBER(G8),ABS(G8),"")</f>
        <v/>
      </c>
      <c r="J8" s="4">
        <f>IF(OR(J7,AND(ISNUMBER(H8),H8&lt;$B$4,I8&lt;$B$4)),TRUE,FALSE)</f>
        <v/>
      </c>
      <c r="K8" s="4">
        <f>IF(AND(J8,NOT(J7)),"&lt;= KONVERGEN",IF(J8,"","lanjut"))</f>
        <v/>
      </c>
    </row>
    <row r="9">
      <c r="A9" s="4" t="n">
        <v>3</v>
      </c>
      <c r="B9" s="6">
        <f>IF(J8,B8,IF(SIGN(G8)=SIGN(E8),D8,B8))</f>
        <v/>
      </c>
      <c r="C9" s="6">
        <f>IF(J8,C8,IF(SIGN(G8)=SIGN(E8),C8,D8))</f>
        <v/>
      </c>
      <c r="D9" s="6">
        <f>IF(J8,D8,IFERROR(B9-E9*(C9-B9)/(F9-E9),D8))</f>
        <v/>
      </c>
      <c r="E9" s="6">
        <f>B9^3-B9^2-B9+1</f>
        <v/>
      </c>
      <c r="F9" s="6">
        <f>C9^3-C9^2-C9+1</f>
        <v/>
      </c>
      <c r="G9" s="6">
        <f>D9^3-D9^2-D9+1</f>
        <v/>
      </c>
      <c r="H9" s="6">
        <f>ABS(D9-D8)</f>
        <v/>
      </c>
      <c r="I9" s="6">
        <f>IF(ISNUMBER(G9),ABS(G9),"")</f>
        <v/>
      </c>
      <c r="J9" s="4">
        <f>IF(OR(J8,AND(ISNUMBER(H9),H9&lt;$B$4,I9&lt;$B$4)),TRUE,FALSE)</f>
        <v/>
      </c>
      <c r="K9" s="4">
        <f>IF(AND(J9,NOT(J8)),"&lt;= KONVERGEN",IF(J9,"","lanjut"))</f>
        <v/>
      </c>
    </row>
    <row r="10">
      <c r="A10" s="4" t="n">
        <v>4</v>
      </c>
      <c r="B10" s="6">
        <f>IF(J9,B9,IF(SIGN(G9)=SIGN(E9),D9,B9))</f>
        <v/>
      </c>
      <c r="C10" s="6">
        <f>IF(J9,C9,IF(SIGN(G9)=SIGN(E9),C9,D9))</f>
        <v/>
      </c>
      <c r="D10" s="6">
        <f>IF(J9,D9,IFERROR(B10-E10*(C10-B10)/(F10-E10),D9))</f>
        <v/>
      </c>
      <c r="E10" s="6">
        <f>B10^3-B10^2-B10+1</f>
        <v/>
      </c>
      <c r="F10" s="6">
        <f>C10^3-C10^2-C10+1</f>
        <v/>
      </c>
      <c r="G10" s="6">
        <f>D10^3-D10^2-D10+1</f>
        <v/>
      </c>
      <c r="H10" s="6">
        <f>ABS(D10-D9)</f>
        <v/>
      </c>
      <c r="I10" s="6">
        <f>IF(ISNUMBER(G10),ABS(G10),"")</f>
        <v/>
      </c>
      <c r="J10" s="4">
        <f>IF(OR(J9,AND(ISNUMBER(H10),H10&lt;$B$4,I10&lt;$B$4)),TRUE,FALSE)</f>
        <v/>
      </c>
      <c r="K10" s="4">
        <f>IF(AND(J10,NOT(J9)),"&lt;= KONVERGEN",IF(J10,"","lanjut"))</f>
        <v/>
      </c>
    </row>
    <row r="11">
      <c r="A11" s="4" t="n">
        <v>5</v>
      </c>
      <c r="B11" s="6">
        <f>IF(J10,B10,IF(SIGN(G10)=SIGN(E10),D10,B10))</f>
        <v/>
      </c>
      <c r="C11" s="6">
        <f>IF(J10,C10,IF(SIGN(G10)=SIGN(E10),C10,D10))</f>
        <v/>
      </c>
      <c r="D11" s="6">
        <f>IF(J10,D10,IFERROR(B11-E11*(C11-B11)/(F11-E11),D10))</f>
        <v/>
      </c>
      <c r="E11" s="6">
        <f>B11^3-B11^2-B11+1</f>
        <v/>
      </c>
      <c r="F11" s="6">
        <f>C11^3-C11^2-C11+1</f>
        <v/>
      </c>
      <c r="G11" s="6">
        <f>D11^3-D11^2-D11+1</f>
        <v/>
      </c>
      <c r="H11" s="6">
        <f>ABS(D11-D10)</f>
        <v/>
      </c>
      <c r="I11" s="6">
        <f>IF(ISNUMBER(G11),ABS(G11),"")</f>
        <v/>
      </c>
      <c r="J11" s="4">
        <f>IF(OR(J10,AND(ISNUMBER(H11),H11&lt;$B$4,I11&lt;$B$4)),TRUE,FALSE)</f>
        <v/>
      </c>
      <c r="K11" s="4">
        <f>IF(AND(J11,NOT(J10)),"&lt;= KONVERGEN",IF(J11,"","lanjut"))</f>
        <v/>
      </c>
    </row>
    <row r="12">
      <c r="A12" s="4" t="n">
        <v>6</v>
      </c>
      <c r="B12" s="6">
        <f>IF(J11,B11,IF(SIGN(G11)=SIGN(E11),D11,B11))</f>
        <v/>
      </c>
      <c r="C12" s="6">
        <f>IF(J11,C11,IF(SIGN(G11)=SIGN(E11),C11,D11))</f>
        <v/>
      </c>
      <c r="D12" s="6">
        <f>IF(J11,D11,IFERROR(B12-E12*(C12-B12)/(F12-E12),D11))</f>
        <v/>
      </c>
      <c r="E12" s="6">
        <f>B12^3-B12^2-B12+1</f>
        <v/>
      </c>
      <c r="F12" s="6">
        <f>C12^3-C12^2-C12+1</f>
        <v/>
      </c>
      <c r="G12" s="6">
        <f>D12^3-D12^2-D12+1</f>
        <v/>
      </c>
      <c r="H12" s="6">
        <f>ABS(D12-D11)</f>
        <v/>
      </c>
      <c r="I12" s="6">
        <f>IF(ISNUMBER(G12),ABS(G12),"")</f>
        <v/>
      </c>
      <c r="J12" s="4">
        <f>IF(OR(J11,AND(ISNUMBER(H12),H12&lt;$B$4,I12&lt;$B$4)),TRUE,FALSE)</f>
        <v/>
      </c>
      <c r="K12" s="4">
        <f>IF(AND(J12,NOT(J11)),"&lt;= KONVERGEN",IF(J12,"","lanjut"))</f>
        <v/>
      </c>
    </row>
    <row r="13">
      <c r="A13" s="4" t="n">
        <v>7</v>
      </c>
      <c r="B13" s="6">
        <f>IF(J12,B12,IF(SIGN(G12)=SIGN(E12),D12,B12))</f>
        <v/>
      </c>
      <c r="C13" s="6">
        <f>IF(J12,C12,IF(SIGN(G12)=SIGN(E12),C12,D12))</f>
        <v/>
      </c>
      <c r="D13" s="6">
        <f>IF(J12,D12,IFERROR(B13-E13*(C13-B13)/(F13-E13),D12))</f>
        <v/>
      </c>
      <c r="E13" s="6">
        <f>B13^3-B13^2-B13+1</f>
        <v/>
      </c>
      <c r="F13" s="6">
        <f>C13^3-C13^2-C13+1</f>
        <v/>
      </c>
      <c r="G13" s="6">
        <f>D13^3-D13^2-D13+1</f>
        <v/>
      </c>
      <c r="H13" s="6">
        <f>ABS(D13-D12)</f>
        <v/>
      </c>
      <c r="I13" s="6">
        <f>IF(ISNUMBER(G13),ABS(G13),"")</f>
        <v/>
      </c>
      <c r="J13" s="4">
        <f>IF(OR(J12,AND(ISNUMBER(H13),H13&lt;$B$4,I13&lt;$B$4)),TRUE,FALSE)</f>
        <v/>
      </c>
      <c r="K13" s="4">
        <f>IF(AND(J13,NOT(J12)),"&lt;= KONVERGEN",IF(J13,"","lanjut"))</f>
        <v/>
      </c>
    </row>
    <row r="14">
      <c r="A14" s="4" t="n">
        <v>8</v>
      </c>
      <c r="B14" s="6">
        <f>IF(J13,B13,IF(SIGN(G13)=SIGN(E13),D13,B13))</f>
        <v/>
      </c>
      <c r="C14" s="6">
        <f>IF(J13,C13,IF(SIGN(G13)=SIGN(E13),C13,D13))</f>
        <v/>
      </c>
      <c r="D14" s="6">
        <f>IF(J13,D13,IFERROR(B14-E14*(C14-B14)/(F14-E14),D13))</f>
        <v/>
      </c>
      <c r="E14" s="6">
        <f>B14^3-B14^2-B14+1</f>
        <v/>
      </c>
      <c r="F14" s="6">
        <f>C14^3-C14^2-C14+1</f>
        <v/>
      </c>
      <c r="G14" s="6">
        <f>D14^3-D14^2-D14+1</f>
        <v/>
      </c>
      <c r="H14" s="6">
        <f>ABS(D14-D13)</f>
        <v/>
      </c>
      <c r="I14" s="6">
        <f>IF(ISNUMBER(G14),ABS(G14),"")</f>
        <v/>
      </c>
      <c r="J14" s="4">
        <f>IF(OR(J13,AND(ISNUMBER(H14),H14&lt;$B$4,I14&lt;$B$4)),TRUE,FALSE)</f>
        <v/>
      </c>
      <c r="K14" s="4">
        <f>IF(AND(J14,NOT(J13)),"&lt;= KONVERGEN",IF(J14,"","lanjut"))</f>
        <v/>
      </c>
    </row>
    <row r="15">
      <c r="A15" s="4" t="n">
        <v>9</v>
      </c>
      <c r="B15" s="6">
        <f>IF(J14,B14,IF(SIGN(G14)=SIGN(E14),D14,B14))</f>
        <v/>
      </c>
      <c r="C15" s="6">
        <f>IF(J14,C14,IF(SIGN(G14)=SIGN(E14),C14,D14))</f>
        <v/>
      </c>
      <c r="D15" s="6">
        <f>IF(J14,D14,IFERROR(B15-E15*(C15-B15)/(F15-E15),D14))</f>
        <v/>
      </c>
      <c r="E15" s="6">
        <f>B15^3-B15^2-B15+1</f>
        <v/>
      </c>
      <c r="F15" s="6">
        <f>C15^3-C15^2-C15+1</f>
        <v/>
      </c>
      <c r="G15" s="6">
        <f>D15^3-D15^2-D15+1</f>
        <v/>
      </c>
      <c r="H15" s="6">
        <f>ABS(D15-D14)</f>
        <v/>
      </c>
      <c r="I15" s="6">
        <f>IF(ISNUMBER(G15),ABS(G15),"")</f>
        <v/>
      </c>
      <c r="J15" s="4">
        <f>IF(OR(J14,AND(ISNUMBER(H15),H15&lt;$B$4,I15&lt;$B$4)),TRUE,FALSE)</f>
        <v/>
      </c>
      <c r="K15" s="4">
        <f>IF(AND(J15,NOT(J14)),"&lt;= KONVERGEN",IF(J15,"","lanjut"))</f>
        <v/>
      </c>
    </row>
    <row r="16">
      <c r="A16" s="4" t="n">
        <v>10</v>
      </c>
      <c r="B16" s="6">
        <f>IF(J15,B15,IF(SIGN(G15)=SIGN(E15),D15,B15))</f>
        <v/>
      </c>
      <c r="C16" s="6">
        <f>IF(J15,C15,IF(SIGN(G15)=SIGN(E15),C15,D15))</f>
        <v/>
      </c>
      <c r="D16" s="6">
        <f>IF(J15,D15,IFERROR(B16-E16*(C16-B16)/(F16-E16),D15))</f>
        <v/>
      </c>
      <c r="E16" s="6">
        <f>B16^3-B16^2-B16+1</f>
        <v/>
      </c>
      <c r="F16" s="6">
        <f>C16^3-C16^2-C16+1</f>
        <v/>
      </c>
      <c r="G16" s="6">
        <f>D16^3-D16^2-D16+1</f>
        <v/>
      </c>
      <c r="H16" s="6">
        <f>ABS(D16-D15)</f>
        <v/>
      </c>
      <c r="I16" s="6">
        <f>IF(ISNUMBER(G16),ABS(G16),"")</f>
        <v/>
      </c>
      <c r="J16" s="4">
        <f>IF(OR(J15,AND(ISNUMBER(H16),H16&lt;$B$4,I16&lt;$B$4)),TRUE,FALSE)</f>
        <v/>
      </c>
      <c r="K16" s="4">
        <f>IF(AND(J16,NOT(J15)),"&lt;= KONVERGEN",IF(J16,"","lanjut"))</f>
        <v/>
      </c>
    </row>
    <row r="17">
      <c r="A17" s="4" t="n">
        <v>11</v>
      </c>
      <c r="B17" s="6">
        <f>IF(J16,B16,IF(SIGN(G16)=SIGN(E16),D16,B16))</f>
        <v/>
      </c>
      <c r="C17" s="6">
        <f>IF(J16,C16,IF(SIGN(G16)=SIGN(E16),C16,D16))</f>
        <v/>
      </c>
      <c r="D17" s="6">
        <f>IF(J16,D16,IFERROR(B17-E17*(C17-B17)/(F17-E17),D16))</f>
        <v/>
      </c>
      <c r="E17" s="6">
        <f>B17^3-B17^2-B17+1</f>
        <v/>
      </c>
      <c r="F17" s="6">
        <f>C17^3-C17^2-C17+1</f>
        <v/>
      </c>
      <c r="G17" s="6">
        <f>D17^3-D17^2-D17+1</f>
        <v/>
      </c>
      <c r="H17" s="6">
        <f>ABS(D17-D16)</f>
        <v/>
      </c>
      <c r="I17" s="6">
        <f>IF(ISNUMBER(G17),ABS(G17),"")</f>
        <v/>
      </c>
      <c r="J17" s="4">
        <f>IF(OR(J16,AND(ISNUMBER(H17),H17&lt;$B$4,I17&lt;$B$4)),TRUE,FALSE)</f>
        <v/>
      </c>
      <c r="K17" s="4">
        <f>IF(AND(J17,NOT(J16)),"&lt;= KONVERGEN",IF(J17,"","lanjut"))</f>
        <v/>
      </c>
    </row>
    <row r="18">
      <c r="A18" s="4" t="n">
        <v>12</v>
      </c>
      <c r="B18" s="6">
        <f>IF(J17,B17,IF(SIGN(G17)=SIGN(E17),D17,B17))</f>
        <v/>
      </c>
      <c r="C18" s="6">
        <f>IF(J17,C17,IF(SIGN(G17)=SIGN(E17),C17,D17))</f>
        <v/>
      </c>
      <c r="D18" s="6">
        <f>IF(J17,D17,IFERROR(B18-E18*(C18-B18)/(F18-E18),D17))</f>
        <v/>
      </c>
      <c r="E18" s="6">
        <f>B18^3-B18^2-B18+1</f>
        <v/>
      </c>
      <c r="F18" s="6">
        <f>C18^3-C18^2-C18+1</f>
        <v/>
      </c>
      <c r="G18" s="6">
        <f>D18^3-D18^2-D18+1</f>
        <v/>
      </c>
      <c r="H18" s="6">
        <f>ABS(D18-D17)</f>
        <v/>
      </c>
      <c r="I18" s="6">
        <f>IF(ISNUMBER(G18),ABS(G18),"")</f>
        <v/>
      </c>
      <c r="J18" s="4">
        <f>IF(OR(J17,AND(ISNUMBER(H18),H18&lt;$B$4,I18&lt;$B$4)),TRUE,FALSE)</f>
        <v/>
      </c>
      <c r="K18" s="4">
        <f>IF(AND(J18,NOT(J17)),"&lt;= KONVERGEN",IF(J18,"","lanjut"))</f>
        <v/>
      </c>
    </row>
    <row r="19">
      <c r="A19" s="4" t="n">
        <v>13</v>
      </c>
      <c r="B19" s="6">
        <f>IF(J18,B18,IF(SIGN(G18)=SIGN(E18),D18,B18))</f>
        <v/>
      </c>
      <c r="C19" s="6">
        <f>IF(J18,C18,IF(SIGN(G18)=SIGN(E18),C18,D18))</f>
        <v/>
      </c>
      <c r="D19" s="6">
        <f>IF(J18,D18,IFERROR(B19-E19*(C19-B19)/(F19-E19),D18))</f>
        <v/>
      </c>
      <c r="E19" s="6">
        <f>B19^3-B19^2-B19+1</f>
        <v/>
      </c>
      <c r="F19" s="6">
        <f>C19^3-C19^2-C19+1</f>
        <v/>
      </c>
      <c r="G19" s="6">
        <f>D19^3-D19^2-D19+1</f>
        <v/>
      </c>
      <c r="H19" s="6">
        <f>ABS(D19-D18)</f>
        <v/>
      </c>
      <c r="I19" s="6">
        <f>IF(ISNUMBER(G19),ABS(G19),"")</f>
        <v/>
      </c>
      <c r="J19" s="4">
        <f>IF(OR(J18,AND(ISNUMBER(H19),H19&lt;$B$4,I19&lt;$B$4)),TRUE,FALSE)</f>
        <v/>
      </c>
      <c r="K19" s="4">
        <f>IF(AND(J19,NOT(J18)),"&lt;= KONVERGEN",IF(J19,"","lanjut"))</f>
        <v/>
      </c>
    </row>
    <row r="20">
      <c r="A20" s="4" t="n">
        <v>14</v>
      </c>
      <c r="B20" s="6">
        <f>IF(J19,B19,IF(SIGN(G19)=SIGN(E19),D19,B19))</f>
        <v/>
      </c>
      <c r="C20" s="6">
        <f>IF(J19,C19,IF(SIGN(G19)=SIGN(E19),C19,D19))</f>
        <v/>
      </c>
      <c r="D20" s="6">
        <f>IF(J19,D19,IFERROR(B20-E20*(C20-B20)/(F20-E20),D19))</f>
        <v/>
      </c>
      <c r="E20" s="6">
        <f>B20^3-B20^2-B20+1</f>
        <v/>
      </c>
      <c r="F20" s="6">
        <f>C20^3-C20^2-C20+1</f>
        <v/>
      </c>
      <c r="G20" s="6">
        <f>D20^3-D20^2-D20+1</f>
        <v/>
      </c>
      <c r="H20" s="6">
        <f>ABS(D20-D19)</f>
        <v/>
      </c>
      <c r="I20" s="6">
        <f>IF(ISNUMBER(G20),ABS(G20),"")</f>
        <v/>
      </c>
      <c r="J20" s="4">
        <f>IF(OR(J19,AND(ISNUMBER(H20),H20&lt;$B$4,I20&lt;$B$4)),TRUE,FALSE)</f>
        <v/>
      </c>
      <c r="K20" s="4">
        <f>IF(AND(J20,NOT(J19)),"&lt;= KONVERGEN",IF(J20,"","lanjut"))</f>
        <v/>
      </c>
    </row>
    <row r="21">
      <c r="A21" s="4" t="n">
        <v>15</v>
      </c>
      <c r="B21" s="6">
        <f>IF(J20,B20,IF(SIGN(G20)=SIGN(E20),D20,B20))</f>
        <v/>
      </c>
      <c r="C21" s="6">
        <f>IF(J20,C20,IF(SIGN(G20)=SIGN(E20),C20,D20))</f>
        <v/>
      </c>
      <c r="D21" s="6">
        <f>IF(J20,D20,IFERROR(B21-E21*(C21-B21)/(F21-E21),D20))</f>
        <v/>
      </c>
      <c r="E21" s="6">
        <f>B21^3-B21^2-B21+1</f>
        <v/>
      </c>
      <c r="F21" s="6">
        <f>C21^3-C21^2-C21+1</f>
        <v/>
      </c>
      <c r="G21" s="6">
        <f>D21^3-D21^2-D21+1</f>
        <v/>
      </c>
      <c r="H21" s="6">
        <f>ABS(D21-D20)</f>
        <v/>
      </c>
      <c r="I21" s="6">
        <f>IF(ISNUMBER(G21),ABS(G21),"")</f>
        <v/>
      </c>
      <c r="J21" s="4">
        <f>IF(OR(J20,AND(ISNUMBER(H21),H21&lt;$B$4,I21&lt;$B$4)),TRUE,FALSE)</f>
        <v/>
      </c>
      <c r="K21" s="4">
        <f>IF(AND(J21,NOT(J20)),"&lt;= KONVERGEN",IF(J21,"","lanjut"))</f>
        <v/>
      </c>
    </row>
    <row r="22">
      <c r="A22" s="4" t="n">
        <v>16</v>
      </c>
      <c r="B22" s="6">
        <f>IF(J21,B21,IF(SIGN(G21)=SIGN(E21),D21,B21))</f>
        <v/>
      </c>
      <c r="C22" s="6">
        <f>IF(J21,C21,IF(SIGN(G21)=SIGN(E21),C21,D21))</f>
        <v/>
      </c>
      <c r="D22" s="6">
        <f>IF(J21,D21,IFERROR(B22-E22*(C22-B22)/(F22-E22),D21))</f>
        <v/>
      </c>
      <c r="E22" s="6">
        <f>B22^3-B22^2-B22+1</f>
        <v/>
      </c>
      <c r="F22" s="6">
        <f>C22^3-C22^2-C22+1</f>
        <v/>
      </c>
      <c r="G22" s="6">
        <f>D22^3-D22^2-D22+1</f>
        <v/>
      </c>
      <c r="H22" s="6">
        <f>ABS(D22-D21)</f>
        <v/>
      </c>
      <c r="I22" s="6">
        <f>IF(ISNUMBER(G22),ABS(G22),"")</f>
        <v/>
      </c>
      <c r="J22" s="4">
        <f>IF(OR(J21,AND(ISNUMBER(H22),H22&lt;$B$4,I22&lt;$B$4)),TRUE,FALSE)</f>
        <v/>
      </c>
      <c r="K22" s="4">
        <f>IF(AND(J22,NOT(J21)),"&lt;= KONVERGEN",IF(J22,"","lanjut"))</f>
        <v/>
      </c>
    </row>
    <row r="23">
      <c r="A23" s="4" t="n">
        <v>17</v>
      </c>
      <c r="B23" s="6">
        <f>IF(J22,B22,IF(SIGN(G22)=SIGN(E22),D22,B22))</f>
        <v/>
      </c>
      <c r="C23" s="6">
        <f>IF(J22,C22,IF(SIGN(G22)=SIGN(E22),C22,D22))</f>
        <v/>
      </c>
      <c r="D23" s="6">
        <f>IF(J22,D22,IFERROR(B23-E23*(C23-B23)/(F23-E23),D22))</f>
        <v/>
      </c>
      <c r="E23" s="6">
        <f>B23^3-B23^2-B23+1</f>
        <v/>
      </c>
      <c r="F23" s="6">
        <f>C23^3-C23^2-C23+1</f>
        <v/>
      </c>
      <c r="G23" s="6">
        <f>D23^3-D23^2-D23+1</f>
        <v/>
      </c>
      <c r="H23" s="6">
        <f>ABS(D23-D22)</f>
        <v/>
      </c>
      <c r="I23" s="6">
        <f>IF(ISNUMBER(G23),ABS(G23),"")</f>
        <v/>
      </c>
      <c r="J23" s="4">
        <f>IF(OR(J22,AND(ISNUMBER(H23),H23&lt;$B$4,I23&lt;$B$4)),TRUE,FALSE)</f>
        <v/>
      </c>
      <c r="K23" s="4">
        <f>IF(AND(J23,NOT(J22)),"&lt;= KONVERGEN",IF(J23,"","lanjut"))</f>
        <v/>
      </c>
    </row>
    <row r="24">
      <c r="A24" s="4" t="n">
        <v>18</v>
      </c>
      <c r="B24" s="6">
        <f>IF(J23,B23,IF(SIGN(G23)=SIGN(E23),D23,B23))</f>
        <v/>
      </c>
      <c r="C24" s="6">
        <f>IF(J23,C23,IF(SIGN(G23)=SIGN(E23),C23,D23))</f>
        <v/>
      </c>
      <c r="D24" s="6">
        <f>IF(J23,D23,IFERROR(B24-E24*(C24-B24)/(F24-E24),D23))</f>
        <v/>
      </c>
      <c r="E24" s="6">
        <f>B24^3-B24^2-B24+1</f>
        <v/>
      </c>
      <c r="F24" s="6">
        <f>C24^3-C24^2-C24+1</f>
        <v/>
      </c>
      <c r="G24" s="6">
        <f>D24^3-D24^2-D24+1</f>
        <v/>
      </c>
      <c r="H24" s="6">
        <f>ABS(D24-D23)</f>
        <v/>
      </c>
      <c r="I24" s="6">
        <f>IF(ISNUMBER(G24),ABS(G24),"")</f>
        <v/>
      </c>
      <c r="J24" s="4">
        <f>IF(OR(J23,AND(ISNUMBER(H24),H24&lt;$B$4,I24&lt;$B$4)),TRUE,FALSE)</f>
        <v/>
      </c>
      <c r="K24" s="4">
        <f>IF(AND(J24,NOT(J23)),"&lt;= KONVERGEN",IF(J24,"","lanjut"))</f>
        <v/>
      </c>
    </row>
    <row r="25">
      <c r="A25" s="4" t="n">
        <v>19</v>
      </c>
      <c r="B25" s="6">
        <f>IF(J24,B24,IF(SIGN(G24)=SIGN(E24),D24,B24))</f>
        <v/>
      </c>
      <c r="C25" s="6">
        <f>IF(J24,C24,IF(SIGN(G24)=SIGN(E24),C24,D24))</f>
        <v/>
      </c>
      <c r="D25" s="6">
        <f>IF(J24,D24,IFERROR(B25-E25*(C25-B25)/(F25-E25),D24))</f>
        <v/>
      </c>
      <c r="E25" s="6">
        <f>B25^3-B25^2-B25+1</f>
        <v/>
      </c>
      <c r="F25" s="6">
        <f>C25^3-C25^2-C25+1</f>
        <v/>
      </c>
      <c r="G25" s="6">
        <f>D25^3-D25^2-D25+1</f>
        <v/>
      </c>
      <c r="H25" s="6">
        <f>ABS(D25-D24)</f>
        <v/>
      </c>
      <c r="I25" s="6">
        <f>IF(ISNUMBER(G25),ABS(G25),"")</f>
        <v/>
      </c>
      <c r="J25" s="4">
        <f>IF(OR(J24,AND(ISNUMBER(H25),H25&lt;$B$4,I25&lt;$B$4)),TRUE,FALSE)</f>
        <v/>
      </c>
      <c r="K25" s="4">
        <f>IF(AND(J25,NOT(J24)),"&lt;= KONVERGEN",IF(J25,"","lanjut"))</f>
        <v/>
      </c>
    </row>
    <row r="26">
      <c r="A26" s="4" t="n">
        <v>20</v>
      </c>
      <c r="B26" s="6">
        <f>IF(J25,B25,IF(SIGN(G25)=SIGN(E25),D25,B25))</f>
        <v/>
      </c>
      <c r="C26" s="6">
        <f>IF(J25,C25,IF(SIGN(G25)=SIGN(E25),C25,D25))</f>
        <v/>
      </c>
      <c r="D26" s="6">
        <f>IF(J25,D25,IFERROR(B26-E26*(C26-B26)/(F26-E26),D25))</f>
        <v/>
      </c>
      <c r="E26" s="6">
        <f>B26^3-B26^2-B26+1</f>
        <v/>
      </c>
      <c r="F26" s="6">
        <f>C26^3-C26^2-C26+1</f>
        <v/>
      </c>
      <c r="G26" s="6">
        <f>D26^3-D26^2-D26+1</f>
        <v/>
      </c>
      <c r="H26" s="6">
        <f>ABS(D26-D25)</f>
        <v/>
      </c>
      <c r="I26" s="6">
        <f>IF(ISNUMBER(G26),ABS(G26),"")</f>
        <v/>
      </c>
      <c r="J26" s="4">
        <f>IF(OR(J25,AND(ISNUMBER(H26),H26&lt;$B$4,I26&lt;$B$4)),TRUE,FALSE)</f>
        <v/>
      </c>
      <c r="K26" s="4">
        <f>IF(AND(J26,NOT(J25)),"&lt;= KONVERGEN",IF(J26,"","lanjut"))</f>
        <v/>
      </c>
    </row>
    <row r="28">
      <c r="A28" s="9" t="inlineStr">
        <is>
          <t>Akar:</t>
        </is>
      </c>
      <c r="B28" s="11">
        <f>D26</f>
        <v/>
      </c>
      <c r="D28" s="7" t="inlineStr">
        <is>
          <t>f(akar):</t>
        </is>
      </c>
      <c r="E28" s="12">
        <f>G26</f>
        <v/>
      </c>
    </row>
    <row r="29">
      <c r="A29" t="inlineStr">
        <is>
          <t>Jumlah iterasi sampai konvergen:</t>
        </is>
      </c>
      <c r="D29" s="13">
        <f>IFERROR(MATCH(TRUE,J7:J26,0),"-")</f>
        <v/>
      </c>
    </row>
  </sheetData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SOAL 4 - METODE REGULA FALSI</t>
        </is>
      </c>
    </row>
    <row r="2">
      <c r="A2" s="9" t="inlineStr">
        <is>
          <t>f(x) = (x - 5)^4 = 0</t>
        </is>
      </c>
    </row>
    <row r="3">
      <c r="A3" s="7" t="inlineStr">
        <is>
          <t>Interval:</t>
        </is>
      </c>
      <c r="B3" t="inlineStr">
        <is>
          <t>a =</t>
        </is>
      </c>
      <c r="C3" s="10" t="n">
        <v>4</v>
      </c>
      <c r="D3" t="inlineStr">
        <is>
          <t>b =</t>
        </is>
      </c>
      <c r="E3" s="10" t="n">
        <v>6</v>
      </c>
    </row>
    <row r="4">
      <c r="A4" s="7" t="inlineStr">
        <is>
          <t>Toleransi:</t>
        </is>
      </c>
      <c r="B4" s="10" t="n">
        <v>0.001</v>
      </c>
      <c r="C4" t="inlineStr">
        <is>
          <t>berhenti bila |x(k) - x(k-1)| &lt; tol  dan  |f(x)| &lt; tol</t>
        </is>
      </c>
    </row>
    <row r="6">
      <c r="A6" s="7" t="inlineStr">
        <is>
          <t>Cek perubahan tanda pada interval awal:</t>
        </is>
      </c>
    </row>
    <row r="7">
      <c r="A7" t="inlineStr">
        <is>
          <t>f(a) =</t>
        </is>
      </c>
      <c r="B7" s="12">
        <f>(C3-5)^4</f>
        <v/>
      </c>
    </row>
    <row r="8">
      <c r="A8" t="inlineStr">
        <is>
          <t>f(b) =</t>
        </is>
      </c>
      <c r="B8" s="12">
        <f>(E3-5)^4</f>
        <v/>
      </c>
    </row>
    <row r="9">
      <c r="A9" t="inlineStr">
        <is>
          <t>f(a) x f(b) =</t>
        </is>
      </c>
      <c r="B9" s="12">
        <f>B7*B8</f>
        <v/>
      </c>
    </row>
    <row r="11">
      <c r="A11" t="inlineStr">
        <is>
          <t>Karena f(a) x f(b) &gt; 0 (tidak ada perubahan tanda), metode Regula Falsi</t>
        </is>
      </c>
    </row>
    <row r="12">
      <c r="A12" t="inlineStr">
        <is>
          <t>tidak dapat diterapkan. f(x) = (x-5)^4 selalu &gt;= 0, jadi kurva hanya</t>
        </is>
      </c>
    </row>
    <row r="13">
      <c r="A13" t="inlineStr">
        <is>
          <t>menyentuh sumbu-x tanpa memotongnya.</t>
        </is>
      </c>
    </row>
    <row r="15">
      <c r="A15" s="9" t="inlineStr">
        <is>
          <t>Akar (analitis): x = 5  (akar rangkap/multiplisitas 4)</t>
        </is>
      </c>
    </row>
  </sheetData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5" customWidth="1" min="8" max="8"/>
    <col width="13" customWidth="1" min="9" max="9"/>
    <col width="9" customWidth="1" min="10" max="10"/>
    <col width="14" customWidth="1" min="11" max="11"/>
  </cols>
  <sheetData>
    <row r="1">
      <c r="A1" s="8" t="inlineStr">
        <is>
          <t>SOAL 5 - METODE REGULA FALSI</t>
        </is>
      </c>
    </row>
    <row r="2">
      <c r="A2" s="9" t="inlineStr">
        <is>
          <t>f(x) = x^3 - 4x + 1 = 0</t>
        </is>
      </c>
    </row>
    <row r="3">
      <c r="A3" s="7" t="inlineStr">
        <is>
          <t>Interval:</t>
        </is>
      </c>
      <c r="B3" t="inlineStr">
        <is>
          <t>a =</t>
        </is>
      </c>
      <c r="C3" s="10" t="n">
        <v>0</v>
      </c>
      <c r="D3" t="inlineStr">
        <is>
          <t>b =</t>
        </is>
      </c>
      <c r="E3" s="10" t="n">
        <v>1</v>
      </c>
    </row>
    <row r="4">
      <c r="A4" s="7" t="inlineStr">
        <is>
          <t>Toleransi:</t>
        </is>
      </c>
      <c r="B4" s="10" t="n">
        <v>0.001</v>
      </c>
      <c r="C4" t="inlineStr">
        <is>
          <t>berhenti bila |x(k) - x(k-1)| &lt; tol  dan  |f(x)| &lt; tol</t>
        </is>
      </c>
    </row>
    <row r="6">
      <c r="A6" s="3" t="inlineStr">
        <is>
          <t>Iterasi k</t>
        </is>
      </c>
      <c r="B6" s="3" t="inlineStr">
        <is>
          <t>a</t>
        </is>
      </c>
      <c r="C6" s="3" t="inlineStr">
        <is>
          <t>b</t>
        </is>
      </c>
      <c r="D6" s="3" t="inlineStr">
        <is>
          <t>x(k)</t>
        </is>
      </c>
      <c r="E6" s="3" t="inlineStr">
        <is>
          <t>f(a)</t>
        </is>
      </c>
      <c r="F6" s="3" t="inlineStr">
        <is>
          <t>f(b)</t>
        </is>
      </c>
      <c r="G6" s="3" t="inlineStr">
        <is>
          <t>f(x(k))</t>
        </is>
      </c>
      <c r="H6" s="3" t="inlineStr">
        <is>
          <t>|x(k)-x(k-1)|</t>
        </is>
      </c>
      <c r="I6" s="3" t="inlineStr">
        <is>
          <t>|f(x(k))|</t>
        </is>
      </c>
      <c r="J6" s="3" t="inlineStr">
        <is>
          <t>selesai?</t>
        </is>
      </c>
      <c r="K6" s="3" t="inlineStr">
        <is>
          <t>Status</t>
        </is>
      </c>
    </row>
    <row r="7">
      <c r="A7" s="4" t="n">
        <v>1</v>
      </c>
      <c r="B7" s="6">
        <f>C3</f>
        <v/>
      </c>
      <c r="C7" s="6">
        <f>E3</f>
        <v/>
      </c>
      <c r="D7" s="6">
        <f>IFERROR(B7-E7*(C7-B7)/(F7-E7),"")</f>
        <v/>
      </c>
      <c r="E7" s="6">
        <f>B7^3-4*B7+1</f>
        <v/>
      </c>
      <c r="F7" s="6">
        <f>C7^3-4*C7+1</f>
        <v/>
      </c>
      <c r="G7" s="6">
        <f>D7^3-4*D7+1</f>
        <v/>
      </c>
      <c r="H7" s="6" t="n"/>
      <c r="I7" s="6">
        <f>IF(ISNUMBER(G7),ABS(G7),"")</f>
        <v/>
      </c>
      <c r="J7" s="4">
        <f>IF(AND(ISNUMBER(H7),H7&lt;$B$4,I7&lt;$B$4),TRUE,FALSE)</f>
        <v/>
      </c>
      <c r="K7" s="4">
        <f>IF(J7,"&lt;= KONVERGEN","lanjut")</f>
        <v/>
      </c>
    </row>
    <row r="8">
      <c r="A8" s="4" t="n">
        <v>2</v>
      </c>
      <c r="B8" s="6">
        <f>IF(J7,B7,IF(SIGN(G7)=SIGN(E7),D7,B7))</f>
        <v/>
      </c>
      <c r="C8" s="6">
        <f>IF(J7,C7,IF(SIGN(G7)=SIGN(E7),C7,D7))</f>
        <v/>
      </c>
      <c r="D8" s="6">
        <f>IF(J7,D7,IFERROR(B8-E8*(C8-B8)/(F8-E8),D7))</f>
        <v/>
      </c>
      <c r="E8" s="6">
        <f>B8^3-4*B8+1</f>
        <v/>
      </c>
      <c r="F8" s="6">
        <f>C8^3-4*C8+1</f>
        <v/>
      </c>
      <c r="G8" s="6">
        <f>D8^3-4*D8+1</f>
        <v/>
      </c>
      <c r="H8" s="6">
        <f>ABS(D8-D7)</f>
        <v/>
      </c>
      <c r="I8" s="6">
        <f>IF(ISNUMBER(G8),ABS(G8),"")</f>
        <v/>
      </c>
      <c r="J8" s="4">
        <f>IF(OR(J7,AND(ISNUMBER(H8),H8&lt;$B$4,I8&lt;$B$4)),TRUE,FALSE)</f>
        <v/>
      </c>
      <c r="K8" s="4">
        <f>IF(AND(J8,NOT(J7)),"&lt;= KONVERGEN",IF(J8,"","lanjut"))</f>
        <v/>
      </c>
    </row>
    <row r="9">
      <c r="A9" s="4" t="n">
        <v>3</v>
      </c>
      <c r="B9" s="6">
        <f>IF(J8,B8,IF(SIGN(G8)=SIGN(E8),D8,B8))</f>
        <v/>
      </c>
      <c r="C9" s="6">
        <f>IF(J8,C8,IF(SIGN(G8)=SIGN(E8),C8,D8))</f>
        <v/>
      </c>
      <c r="D9" s="6">
        <f>IF(J8,D8,IFERROR(B9-E9*(C9-B9)/(F9-E9),D8))</f>
        <v/>
      </c>
      <c r="E9" s="6">
        <f>B9^3-4*B9+1</f>
        <v/>
      </c>
      <c r="F9" s="6">
        <f>C9^3-4*C9+1</f>
        <v/>
      </c>
      <c r="G9" s="6">
        <f>D9^3-4*D9+1</f>
        <v/>
      </c>
      <c r="H9" s="6">
        <f>ABS(D9-D8)</f>
        <v/>
      </c>
      <c r="I9" s="6">
        <f>IF(ISNUMBER(G9),ABS(G9),"")</f>
        <v/>
      </c>
      <c r="J9" s="4">
        <f>IF(OR(J8,AND(ISNUMBER(H9),H9&lt;$B$4,I9&lt;$B$4)),TRUE,FALSE)</f>
        <v/>
      </c>
      <c r="K9" s="4">
        <f>IF(AND(J9,NOT(J8)),"&lt;= KONVERGEN",IF(J9,"","lanjut"))</f>
        <v/>
      </c>
    </row>
    <row r="10">
      <c r="A10" s="4" t="n">
        <v>4</v>
      </c>
      <c r="B10" s="6">
        <f>IF(J9,B9,IF(SIGN(G9)=SIGN(E9),D9,B9))</f>
        <v/>
      </c>
      <c r="C10" s="6">
        <f>IF(J9,C9,IF(SIGN(G9)=SIGN(E9),C9,D9))</f>
        <v/>
      </c>
      <c r="D10" s="6">
        <f>IF(J9,D9,IFERROR(B10-E10*(C10-B10)/(F10-E10),D9))</f>
        <v/>
      </c>
      <c r="E10" s="6">
        <f>B10^3-4*B10+1</f>
        <v/>
      </c>
      <c r="F10" s="6">
        <f>C10^3-4*C10+1</f>
        <v/>
      </c>
      <c r="G10" s="6">
        <f>D10^3-4*D10+1</f>
        <v/>
      </c>
      <c r="H10" s="6">
        <f>ABS(D10-D9)</f>
        <v/>
      </c>
      <c r="I10" s="6">
        <f>IF(ISNUMBER(G10),ABS(G10),"")</f>
        <v/>
      </c>
      <c r="J10" s="4">
        <f>IF(OR(J9,AND(ISNUMBER(H10),H10&lt;$B$4,I10&lt;$B$4)),TRUE,FALSE)</f>
        <v/>
      </c>
      <c r="K10" s="4">
        <f>IF(AND(J10,NOT(J9)),"&lt;= KONVERGEN",IF(J10,"","lanjut"))</f>
        <v/>
      </c>
    </row>
    <row r="11">
      <c r="A11" s="4" t="n">
        <v>5</v>
      </c>
      <c r="B11" s="6">
        <f>IF(J10,B10,IF(SIGN(G10)=SIGN(E10),D10,B10))</f>
        <v/>
      </c>
      <c r="C11" s="6">
        <f>IF(J10,C10,IF(SIGN(G10)=SIGN(E10),C10,D10))</f>
        <v/>
      </c>
      <c r="D11" s="6">
        <f>IF(J10,D10,IFERROR(B11-E11*(C11-B11)/(F11-E11),D10))</f>
        <v/>
      </c>
      <c r="E11" s="6">
        <f>B11^3-4*B11+1</f>
        <v/>
      </c>
      <c r="F11" s="6">
        <f>C11^3-4*C11+1</f>
        <v/>
      </c>
      <c r="G11" s="6">
        <f>D11^3-4*D11+1</f>
        <v/>
      </c>
      <c r="H11" s="6">
        <f>ABS(D11-D10)</f>
        <v/>
      </c>
      <c r="I11" s="6">
        <f>IF(ISNUMBER(G11),ABS(G11),"")</f>
        <v/>
      </c>
      <c r="J11" s="4">
        <f>IF(OR(J10,AND(ISNUMBER(H11),H11&lt;$B$4,I11&lt;$B$4)),TRUE,FALSE)</f>
        <v/>
      </c>
      <c r="K11" s="4">
        <f>IF(AND(J11,NOT(J10)),"&lt;= KONVERGEN",IF(J11,"","lanjut"))</f>
        <v/>
      </c>
    </row>
    <row r="12">
      <c r="A12" s="4" t="n">
        <v>6</v>
      </c>
      <c r="B12" s="6">
        <f>IF(J11,B11,IF(SIGN(G11)=SIGN(E11),D11,B11))</f>
        <v/>
      </c>
      <c r="C12" s="6">
        <f>IF(J11,C11,IF(SIGN(G11)=SIGN(E11),C11,D11))</f>
        <v/>
      </c>
      <c r="D12" s="6">
        <f>IF(J11,D11,IFERROR(B12-E12*(C12-B12)/(F12-E12),D11))</f>
        <v/>
      </c>
      <c r="E12" s="6">
        <f>B12^3-4*B12+1</f>
        <v/>
      </c>
      <c r="F12" s="6">
        <f>C12^3-4*C12+1</f>
        <v/>
      </c>
      <c r="G12" s="6">
        <f>D12^3-4*D12+1</f>
        <v/>
      </c>
      <c r="H12" s="6">
        <f>ABS(D12-D11)</f>
        <v/>
      </c>
      <c r="I12" s="6">
        <f>IF(ISNUMBER(G12),ABS(G12),"")</f>
        <v/>
      </c>
      <c r="J12" s="4">
        <f>IF(OR(J11,AND(ISNUMBER(H12),H12&lt;$B$4,I12&lt;$B$4)),TRUE,FALSE)</f>
        <v/>
      </c>
      <c r="K12" s="4">
        <f>IF(AND(J12,NOT(J11)),"&lt;= KONVERGEN",IF(J12,"","lanjut"))</f>
        <v/>
      </c>
    </row>
    <row r="13">
      <c r="A13" s="4" t="n">
        <v>7</v>
      </c>
      <c r="B13" s="6">
        <f>IF(J12,B12,IF(SIGN(G12)=SIGN(E12),D12,B12))</f>
        <v/>
      </c>
      <c r="C13" s="6">
        <f>IF(J12,C12,IF(SIGN(G12)=SIGN(E12),C12,D12))</f>
        <v/>
      </c>
      <c r="D13" s="6">
        <f>IF(J12,D12,IFERROR(B13-E13*(C13-B13)/(F13-E13),D12))</f>
        <v/>
      </c>
      <c r="E13" s="6">
        <f>B13^3-4*B13+1</f>
        <v/>
      </c>
      <c r="F13" s="6">
        <f>C13^3-4*C13+1</f>
        <v/>
      </c>
      <c r="G13" s="6">
        <f>D13^3-4*D13+1</f>
        <v/>
      </c>
      <c r="H13" s="6">
        <f>ABS(D13-D12)</f>
        <v/>
      </c>
      <c r="I13" s="6">
        <f>IF(ISNUMBER(G13),ABS(G13),"")</f>
        <v/>
      </c>
      <c r="J13" s="4">
        <f>IF(OR(J12,AND(ISNUMBER(H13),H13&lt;$B$4,I13&lt;$B$4)),TRUE,FALSE)</f>
        <v/>
      </c>
      <c r="K13" s="4">
        <f>IF(AND(J13,NOT(J12)),"&lt;= KONVERGEN",IF(J13,"","lanjut"))</f>
        <v/>
      </c>
    </row>
    <row r="14">
      <c r="A14" s="4" t="n">
        <v>8</v>
      </c>
      <c r="B14" s="6">
        <f>IF(J13,B13,IF(SIGN(G13)=SIGN(E13),D13,B13))</f>
        <v/>
      </c>
      <c r="C14" s="6">
        <f>IF(J13,C13,IF(SIGN(G13)=SIGN(E13),C13,D13))</f>
        <v/>
      </c>
      <c r="D14" s="6">
        <f>IF(J13,D13,IFERROR(B14-E14*(C14-B14)/(F14-E14),D13))</f>
        <v/>
      </c>
      <c r="E14" s="6">
        <f>B14^3-4*B14+1</f>
        <v/>
      </c>
      <c r="F14" s="6">
        <f>C14^3-4*C14+1</f>
        <v/>
      </c>
      <c r="G14" s="6">
        <f>D14^3-4*D14+1</f>
        <v/>
      </c>
      <c r="H14" s="6">
        <f>ABS(D14-D13)</f>
        <v/>
      </c>
      <c r="I14" s="6">
        <f>IF(ISNUMBER(G14),ABS(G14),"")</f>
        <v/>
      </c>
      <c r="J14" s="4">
        <f>IF(OR(J13,AND(ISNUMBER(H14),H14&lt;$B$4,I14&lt;$B$4)),TRUE,FALSE)</f>
        <v/>
      </c>
      <c r="K14" s="4">
        <f>IF(AND(J14,NOT(J13)),"&lt;= KONVERGEN",IF(J14,"","lanjut"))</f>
        <v/>
      </c>
    </row>
    <row r="15">
      <c r="A15" s="4" t="n">
        <v>9</v>
      </c>
      <c r="B15" s="6">
        <f>IF(J14,B14,IF(SIGN(G14)=SIGN(E14),D14,B14))</f>
        <v/>
      </c>
      <c r="C15" s="6">
        <f>IF(J14,C14,IF(SIGN(G14)=SIGN(E14),C14,D14))</f>
        <v/>
      </c>
      <c r="D15" s="6">
        <f>IF(J14,D14,IFERROR(B15-E15*(C15-B15)/(F15-E15),D14))</f>
        <v/>
      </c>
      <c r="E15" s="6">
        <f>B15^3-4*B15+1</f>
        <v/>
      </c>
      <c r="F15" s="6">
        <f>C15^3-4*C15+1</f>
        <v/>
      </c>
      <c r="G15" s="6">
        <f>D15^3-4*D15+1</f>
        <v/>
      </c>
      <c r="H15" s="6">
        <f>ABS(D15-D14)</f>
        <v/>
      </c>
      <c r="I15" s="6">
        <f>IF(ISNUMBER(G15),ABS(G15),"")</f>
        <v/>
      </c>
      <c r="J15" s="4">
        <f>IF(OR(J14,AND(ISNUMBER(H15),H15&lt;$B$4,I15&lt;$B$4)),TRUE,FALSE)</f>
        <v/>
      </c>
      <c r="K15" s="4">
        <f>IF(AND(J15,NOT(J14)),"&lt;= KONVERGEN",IF(J15,"","lanjut"))</f>
        <v/>
      </c>
    </row>
    <row r="16">
      <c r="A16" s="4" t="n">
        <v>10</v>
      </c>
      <c r="B16" s="6">
        <f>IF(J15,B15,IF(SIGN(G15)=SIGN(E15),D15,B15))</f>
        <v/>
      </c>
      <c r="C16" s="6">
        <f>IF(J15,C15,IF(SIGN(G15)=SIGN(E15),C15,D15))</f>
        <v/>
      </c>
      <c r="D16" s="6">
        <f>IF(J15,D15,IFERROR(B16-E16*(C16-B16)/(F16-E16),D15))</f>
        <v/>
      </c>
      <c r="E16" s="6">
        <f>B16^3-4*B16+1</f>
        <v/>
      </c>
      <c r="F16" s="6">
        <f>C16^3-4*C16+1</f>
        <v/>
      </c>
      <c r="G16" s="6">
        <f>D16^3-4*D16+1</f>
        <v/>
      </c>
      <c r="H16" s="6">
        <f>ABS(D16-D15)</f>
        <v/>
      </c>
      <c r="I16" s="6">
        <f>IF(ISNUMBER(G16),ABS(G16),"")</f>
        <v/>
      </c>
      <c r="J16" s="4">
        <f>IF(OR(J15,AND(ISNUMBER(H16),H16&lt;$B$4,I16&lt;$B$4)),TRUE,FALSE)</f>
        <v/>
      </c>
      <c r="K16" s="4">
        <f>IF(AND(J16,NOT(J15)),"&lt;= KONVERGEN",IF(J16,"","lanjut"))</f>
        <v/>
      </c>
    </row>
    <row r="17">
      <c r="A17" s="4" t="n">
        <v>11</v>
      </c>
      <c r="B17" s="6">
        <f>IF(J16,B16,IF(SIGN(G16)=SIGN(E16),D16,B16))</f>
        <v/>
      </c>
      <c r="C17" s="6">
        <f>IF(J16,C16,IF(SIGN(G16)=SIGN(E16),C16,D16))</f>
        <v/>
      </c>
      <c r="D17" s="6">
        <f>IF(J16,D16,IFERROR(B17-E17*(C17-B17)/(F17-E17),D16))</f>
        <v/>
      </c>
      <c r="E17" s="6">
        <f>B17^3-4*B17+1</f>
        <v/>
      </c>
      <c r="F17" s="6">
        <f>C17^3-4*C17+1</f>
        <v/>
      </c>
      <c r="G17" s="6">
        <f>D17^3-4*D17+1</f>
        <v/>
      </c>
      <c r="H17" s="6">
        <f>ABS(D17-D16)</f>
        <v/>
      </c>
      <c r="I17" s="6">
        <f>IF(ISNUMBER(G17),ABS(G17),"")</f>
        <v/>
      </c>
      <c r="J17" s="4">
        <f>IF(OR(J16,AND(ISNUMBER(H17),H17&lt;$B$4,I17&lt;$B$4)),TRUE,FALSE)</f>
        <v/>
      </c>
      <c r="K17" s="4">
        <f>IF(AND(J17,NOT(J16)),"&lt;= KONVERGEN",IF(J17,"","lanjut"))</f>
        <v/>
      </c>
    </row>
    <row r="18">
      <c r="A18" s="4" t="n">
        <v>12</v>
      </c>
      <c r="B18" s="6">
        <f>IF(J17,B17,IF(SIGN(G17)=SIGN(E17),D17,B17))</f>
        <v/>
      </c>
      <c r="C18" s="6">
        <f>IF(J17,C17,IF(SIGN(G17)=SIGN(E17),C17,D17))</f>
        <v/>
      </c>
      <c r="D18" s="6">
        <f>IF(J17,D17,IFERROR(B18-E18*(C18-B18)/(F18-E18),D17))</f>
        <v/>
      </c>
      <c r="E18" s="6">
        <f>B18^3-4*B18+1</f>
        <v/>
      </c>
      <c r="F18" s="6">
        <f>C18^3-4*C18+1</f>
        <v/>
      </c>
      <c r="G18" s="6">
        <f>D18^3-4*D18+1</f>
        <v/>
      </c>
      <c r="H18" s="6">
        <f>ABS(D18-D17)</f>
        <v/>
      </c>
      <c r="I18" s="6">
        <f>IF(ISNUMBER(G18),ABS(G18),"")</f>
        <v/>
      </c>
      <c r="J18" s="4">
        <f>IF(OR(J17,AND(ISNUMBER(H18),H18&lt;$B$4,I18&lt;$B$4)),TRUE,FALSE)</f>
        <v/>
      </c>
      <c r="K18" s="4">
        <f>IF(AND(J18,NOT(J17)),"&lt;= KONVERGEN",IF(J18,"","lanjut"))</f>
        <v/>
      </c>
    </row>
    <row r="19">
      <c r="A19" s="4" t="n">
        <v>13</v>
      </c>
      <c r="B19" s="6">
        <f>IF(J18,B18,IF(SIGN(G18)=SIGN(E18),D18,B18))</f>
        <v/>
      </c>
      <c r="C19" s="6">
        <f>IF(J18,C18,IF(SIGN(G18)=SIGN(E18),C18,D18))</f>
        <v/>
      </c>
      <c r="D19" s="6">
        <f>IF(J18,D18,IFERROR(B19-E19*(C19-B19)/(F19-E19),D18))</f>
        <v/>
      </c>
      <c r="E19" s="6">
        <f>B19^3-4*B19+1</f>
        <v/>
      </c>
      <c r="F19" s="6">
        <f>C19^3-4*C19+1</f>
        <v/>
      </c>
      <c r="G19" s="6">
        <f>D19^3-4*D19+1</f>
        <v/>
      </c>
      <c r="H19" s="6">
        <f>ABS(D19-D18)</f>
        <v/>
      </c>
      <c r="I19" s="6">
        <f>IF(ISNUMBER(G19),ABS(G19),"")</f>
        <v/>
      </c>
      <c r="J19" s="4">
        <f>IF(OR(J18,AND(ISNUMBER(H19),H19&lt;$B$4,I19&lt;$B$4)),TRUE,FALSE)</f>
        <v/>
      </c>
      <c r="K19" s="4">
        <f>IF(AND(J19,NOT(J18)),"&lt;= KONVERGEN",IF(J19,"","lanjut"))</f>
        <v/>
      </c>
    </row>
    <row r="20">
      <c r="A20" s="4" t="n">
        <v>14</v>
      </c>
      <c r="B20" s="6">
        <f>IF(J19,B19,IF(SIGN(G19)=SIGN(E19),D19,B19))</f>
        <v/>
      </c>
      <c r="C20" s="6">
        <f>IF(J19,C19,IF(SIGN(G19)=SIGN(E19),C19,D19))</f>
        <v/>
      </c>
      <c r="D20" s="6">
        <f>IF(J19,D19,IFERROR(B20-E20*(C20-B20)/(F20-E20),D19))</f>
        <v/>
      </c>
      <c r="E20" s="6">
        <f>B20^3-4*B20+1</f>
        <v/>
      </c>
      <c r="F20" s="6">
        <f>C20^3-4*C20+1</f>
        <v/>
      </c>
      <c r="G20" s="6">
        <f>D20^3-4*D20+1</f>
        <v/>
      </c>
      <c r="H20" s="6">
        <f>ABS(D20-D19)</f>
        <v/>
      </c>
      <c r="I20" s="6">
        <f>IF(ISNUMBER(G20),ABS(G20),"")</f>
        <v/>
      </c>
      <c r="J20" s="4">
        <f>IF(OR(J19,AND(ISNUMBER(H20),H20&lt;$B$4,I20&lt;$B$4)),TRUE,FALSE)</f>
        <v/>
      </c>
      <c r="K20" s="4">
        <f>IF(AND(J20,NOT(J19)),"&lt;= KONVERGEN",IF(J20,"","lanjut"))</f>
        <v/>
      </c>
    </row>
    <row r="21">
      <c r="A21" s="4" t="n">
        <v>15</v>
      </c>
      <c r="B21" s="6">
        <f>IF(J20,B20,IF(SIGN(G20)=SIGN(E20),D20,B20))</f>
        <v/>
      </c>
      <c r="C21" s="6">
        <f>IF(J20,C20,IF(SIGN(G20)=SIGN(E20),C20,D20))</f>
        <v/>
      </c>
      <c r="D21" s="6">
        <f>IF(J20,D20,IFERROR(B21-E21*(C21-B21)/(F21-E21),D20))</f>
        <v/>
      </c>
      <c r="E21" s="6">
        <f>B21^3-4*B21+1</f>
        <v/>
      </c>
      <c r="F21" s="6">
        <f>C21^3-4*C21+1</f>
        <v/>
      </c>
      <c r="G21" s="6">
        <f>D21^3-4*D21+1</f>
        <v/>
      </c>
      <c r="H21" s="6">
        <f>ABS(D21-D20)</f>
        <v/>
      </c>
      <c r="I21" s="6">
        <f>IF(ISNUMBER(G21),ABS(G21),"")</f>
        <v/>
      </c>
      <c r="J21" s="4">
        <f>IF(OR(J20,AND(ISNUMBER(H21),H21&lt;$B$4,I21&lt;$B$4)),TRUE,FALSE)</f>
        <v/>
      </c>
      <c r="K21" s="4">
        <f>IF(AND(J21,NOT(J20)),"&lt;= KONVERGEN",IF(J21,"","lanjut"))</f>
        <v/>
      </c>
    </row>
    <row r="22">
      <c r="A22" s="4" t="n">
        <v>16</v>
      </c>
      <c r="B22" s="6">
        <f>IF(J21,B21,IF(SIGN(G21)=SIGN(E21),D21,B21))</f>
        <v/>
      </c>
      <c r="C22" s="6">
        <f>IF(J21,C21,IF(SIGN(G21)=SIGN(E21),C21,D21))</f>
        <v/>
      </c>
      <c r="D22" s="6">
        <f>IF(J21,D21,IFERROR(B22-E22*(C22-B22)/(F22-E22),D21))</f>
        <v/>
      </c>
      <c r="E22" s="6">
        <f>B22^3-4*B22+1</f>
        <v/>
      </c>
      <c r="F22" s="6">
        <f>C22^3-4*C22+1</f>
        <v/>
      </c>
      <c r="G22" s="6">
        <f>D22^3-4*D22+1</f>
        <v/>
      </c>
      <c r="H22" s="6">
        <f>ABS(D22-D21)</f>
        <v/>
      </c>
      <c r="I22" s="6">
        <f>IF(ISNUMBER(G22),ABS(G22),"")</f>
        <v/>
      </c>
      <c r="J22" s="4">
        <f>IF(OR(J21,AND(ISNUMBER(H22),H22&lt;$B$4,I22&lt;$B$4)),TRUE,FALSE)</f>
        <v/>
      </c>
      <c r="K22" s="4">
        <f>IF(AND(J22,NOT(J21)),"&lt;= KONVERGEN",IF(J22,"","lanjut"))</f>
        <v/>
      </c>
    </row>
    <row r="23">
      <c r="A23" s="4" t="n">
        <v>17</v>
      </c>
      <c r="B23" s="6">
        <f>IF(J22,B22,IF(SIGN(G22)=SIGN(E22),D22,B22))</f>
        <v/>
      </c>
      <c r="C23" s="6">
        <f>IF(J22,C22,IF(SIGN(G22)=SIGN(E22),C22,D22))</f>
        <v/>
      </c>
      <c r="D23" s="6">
        <f>IF(J22,D22,IFERROR(B23-E23*(C23-B23)/(F23-E23),D22))</f>
        <v/>
      </c>
      <c r="E23" s="6">
        <f>B23^3-4*B23+1</f>
        <v/>
      </c>
      <c r="F23" s="6">
        <f>C23^3-4*C23+1</f>
        <v/>
      </c>
      <c r="G23" s="6">
        <f>D23^3-4*D23+1</f>
        <v/>
      </c>
      <c r="H23" s="6">
        <f>ABS(D23-D22)</f>
        <v/>
      </c>
      <c r="I23" s="6">
        <f>IF(ISNUMBER(G23),ABS(G23),"")</f>
        <v/>
      </c>
      <c r="J23" s="4">
        <f>IF(OR(J22,AND(ISNUMBER(H23),H23&lt;$B$4,I23&lt;$B$4)),TRUE,FALSE)</f>
        <v/>
      </c>
      <c r="K23" s="4">
        <f>IF(AND(J23,NOT(J22)),"&lt;= KONVERGEN",IF(J23,"","lanjut"))</f>
        <v/>
      </c>
    </row>
    <row r="24">
      <c r="A24" s="4" t="n">
        <v>18</v>
      </c>
      <c r="B24" s="6">
        <f>IF(J23,B23,IF(SIGN(G23)=SIGN(E23),D23,B23))</f>
        <v/>
      </c>
      <c r="C24" s="6">
        <f>IF(J23,C23,IF(SIGN(G23)=SIGN(E23),C23,D23))</f>
        <v/>
      </c>
      <c r="D24" s="6">
        <f>IF(J23,D23,IFERROR(B24-E24*(C24-B24)/(F24-E24),D23))</f>
        <v/>
      </c>
      <c r="E24" s="6">
        <f>B24^3-4*B24+1</f>
        <v/>
      </c>
      <c r="F24" s="6">
        <f>C24^3-4*C24+1</f>
        <v/>
      </c>
      <c r="G24" s="6">
        <f>D24^3-4*D24+1</f>
        <v/>
      </c>
      <c r="H24" s="6">
        <f>ABS(D24-D23)</f>
        <v/>
      </c>
      <c r="I24" s="6">
        <f>IF(ISNUMBER(G24),ABS(G24),"")</f>
        <v/>
      </c>
      <c r="J24" s="4">
        <f>IF(OR(J23,AND(ISNUMBER(H24),H24&lt;$B$4,I24&lt;$B$4)),TRUE,FALSE)</f>
        <v/>
      </c>
      <c r="K24" s="4">
        <f>IF(AND(J24,NOT(J23)),"&lt;= KONVERGEN",IF(J24,"","lanjut"))</f>
        <v/>
      </c>
    </row>
    <row r="25">
      <c r="A25" s="4" t="n">
        <v>19</v>
      </c>
      <c r="B25" s="6">
        <f>IF(J24,B24,IF(SIGN(G24)=SIGN(E24),D24,B24))</f>
        <v/>
      </c>
      <c r="C25" s="6">
        <f>IF(J24,C24,IF(SIGN(G24)=SIGN(E24),C24,D24))</f>
        <v/>
      </c>
      <c r="D25" s="6">
        <f>IF(J24,D24,IFERROR(B25-E25*(C25-B25)/(F25-E25),D24))</f>
        <v/>
      </c>
      <c r="E25" s="6">
        <f>B25^3-4*B25+1</f>
        <v/>
      </c>
      <c r="F25" s="6">
        <f>C25^3-4*C25+1</f>
        <v/>
      </c>
      <c r="G25" s="6">
        <f>D25^3-4*D25+1</f>
        <v/>
      </c>
      <c r="H25" s="6">
        <f>ABS(D25-D24)</f>
        <v/>
      </c>
      <c r="I25" s="6">
        <f>IF(ISNUMBER(G25),ABS(G25),"")</f>
        <v/>
      </c>
      <c r="J25" s="4">
        <f>IF(OR(J24,AND(ISNUMBER(H25),H25&lt;$B$4,I25&lt;$B$4)),TRUE,FALSE)</f>
        <v/>
      </c>
      <c r="K25" s="4">
        <f>IF(AND(J25,NOT(J24)),"&lt;= KONVERGEN",IF(J25,"","lanjut"))</f>
        <v/>
      </c>
    </row>
    <row r="26">
      <c r="A26" s="4" t="n">
        <v>20</v>
      </c>
      <c r="B26" s="6">
        <f>IF(J25,B25,IF(SIGN(G25)=SIGN(E25),D25,B25))</f>
        <v/>
      </c>
      <c r="C26" s="6">
        <f>IF(J25,C25,IF(SIGN(G25)=SIGN(E25),C25,D25))</f>
        <v/>
      </c>
      <c r="D26" s="6">
        <f>IF(J25,D25,IFERROR(B26-E26*(C26-B26)/(F26-E26),D25))</f>
        <v/>
      </c>
      <c r="E26" s="6">
        <f>B26^3-4*B26+1</f>
        <v/>
      </c>
      <c r="F26" s="6">
        <f>C26^3-4*C26+1</f>
        <v/>
      </c>
      <c r="G26" s="6">
        <f>D26^3-4*D26+1</f>
        <v/>
      </c>
      <c r="H26" s="6">
        <f>ABS(D26-D25)</f>
        <v/>
      </c>
      <c r="I26" s="6">
        <f>IF(ISNUMBER(G26),ABS(G26),"")</f>
        <v/>
      </c>
      <c r="J26" s="4">
        <f>IF(OR(J25,AND(ISNUMBER(H26),H26&lt;$B$4,I26&lt;$B$4)),TRUE,FALSE)</f>
        <v/>
      </c>
      <c r="K26" s="4">
        <f>IF(AND(J26,NOT(J25)),"&lt;= KONVERGEN",IF(J26,"","lanjut"))</f>
        <v/>
      </c>
    </row>
    <row r="28">
      <c r="A28" s="9" t="inlineStr">
        <is>
          <t>Akar:</t>
        </is>
      </c>
      <c r="B28" s="11">
        <f>D26</f>
        <v/>
      </c>
      <c r="D28" s="7" t="inlineStr">
        <is>
          <t>f(akar):</t>
        </is>
      </c>
      <c r="E28" s="12">
        <f>G26</f>
        <v/>
      </c>
    </row>
    <row r="29">
      <c r="A29" t="inlineStr">
        <is>
          <t>Jumlah iterasi sampai konvergen:</t>
        </is>
      </c>
      <c r="D29" s="13">
        <f>IFERROR(MATCH(TRUE,J7:J26,0),"-")</f>
        <v/>
      </c>
    </row>
  </sheetData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5" customWidth="1" min="8" max="8"/>
    <col width="13" customWidth="1" min="9" max="9"/>
    <col width="9" customWidth="1" min="10" max="10"/>
    <col width="14" customWidth="1" min="11" max="11"/>
  </cols>
  <sheetData>
    <row r="1">
      <c r="A1" s="8" t="inlineStr">
        <is>
          <t>SOAL 6 - METODE REGULA FALSI</t>
        </is>
      </c>
    </row>
    <row r="2">
      <c r="A2" s="9" t="inlineStr">
        <is>
          <t>f(x) = x + cos x = 0</t>
        </is>
      </c>
    </row>
    <row r="3">
      <c r="A3" s="7" t="inlineStr">
        <is>
          <t>Interval:</t>
        </is>
      </c>
      <c r="B3" t="inlineStr">
        <is>
          <t>a =</t>
        </is>
      </c>
      <c r="C3" s="10" t="n">
        <v>-1</v>
      </c>
      <c r="D3" t="inlineStr">
        <is>
          <t>b =</t>
        </is>
      </c>
      <c r="E3" s="10" t="n">
        <v>0</v>
      </c>
    </row>
    <row r="4">
      <c r="A4" s="7" t="inlineStr">
        <is>
          <t>Toleransi:</t>
        </is>
      </c>
      <c r="B4" s="10" t="n">
        <v>0.001</v>
      </c>
      <c r="C4" t="inlineStr">
        <is>
          <t>berhenti bila |x(k) - x(k-1)| &lt; tol  dan  |f(x)| &lt; tol</t>
        </is>
      </c>
    </row>
    <row r="6">
      <c r="A6" s="3" t="inlineStr">
        <is>
          <t>Iterasi k</t>
        </is>
      </c>
      <c r="B6" s="3" t="inlineStr">
        <is>
          <t>a</t>
        </is>
      </c>
      <c r="C6" s="3" t="inlineStr">
        <is>
          <t>b</t>
        </is>
      </c>
      <c r="D6" s="3" t="inlineStr">
        <is>
          <t>x(k)</t>
        </is>
      </c>
      <c r="E6" s="3" t="inlineStr">
        <is>
          <t>f(a)</t>
        </is>
      </c>
      <c r="F6" s="3" t="inlineStr">
        <is>
          <t>f(b)</t>
        </is>
      </c>
      <c r="G6" s="3" t="inlineStr">
        <is>
          <t>f(x(k))</t>
        </is>
      </c>
      <c r="H6" s="3" t="inlineStr">
        <is>
          <t>|x(k)-x(k-1)|</t>
        </is>
      </c>
      <c r="I6" s="3" t="inlineStr">
        <is>
          <t>|f(x(k))|</t>
        </is>
      </c>
      <c r="J6" s="3" t="inlineStr">
        <is>
          <t>selesai?</t>
        </is>
      </c>
      <c r="K6" s="3" t="inlineStr">
        <is>
          <t>Status</t>
        </is>
      </c>
    </row>
    <row r="7">
      <c r="A7" s="4" t="n">
        <v>1</v>
      </c>
      <c r="B7" s="6">
        <f>C3</f>
        <v/>
      </c>
      <c r="C7" s="6">
        <f>E3</f>
        <v/>
      </c>
      <c r="D7" s="6">
        <f>IFERROR(B7-E7*(C7-B7)/(F7-E7),"")</f>
        <v/>
      </c>
      <c r="E7" s="6">
        <f>B7+COS(B7)</f>
        <v/>
      </c>
      <c r="F7" s="6">
        <f>C7+COS(C7)</f>
        <v/>
      </c>
      <c r="G7" s="6">
        <f>D7+COS(D7)</f>
        <v/>
      </c>
      <c r="H7" s="6" t="n"/>
      <c r="I7" s="6">
        <f>IF(ISNUMBER(G7),ABS(G7),"")</f>
        <v/>
      </c>
      <c r="J7" s="4">
        <f>IF(AND(ISNUMBER(H7),H7&lt;$B$4,I7&lt;$B$4),TRUE,FALSE)</f>
        <v/>
      </c>
      <c r="K7" s="4">
        <f>IF(J7,"&lt;= KONVERGEN","lanjut")</f>
        <v/>
      </c>
    </row>
    <row r="8">
      <c r="A8" s="4" t="n">
        <v>2</v>
      </c>
      <c r="B8" s="6">
        <f>IF(J7,B7,IF(SIGN(G7)=SIGN(E7),D7,B7))</f>
        <v/>
      </c>
      <c r="C8" s="6">
        <f>IF(J7,C7,IF(SIGN(G7)=SIGN(E7),C7,D7))</f>
        <v/>
      </c>
      <c r="D8" s="6">
        <f>IF(J7,D7,IFERROR(B8-E8*(C8-B8)/(F8-E8),D7))</f>
        <v/>
      </c>
      <c r="E8" s="6">
        <f>B8+COS(B8)</f>
        <v/>
      </c>
      <c r="F8" s="6">
        <f>C8+COS(C8)</f>
        <v/>
      </c>
      <c r="G8" s="6">
        <f>D8+COS(D8)</f>
        <v/>
      </c>
      <c r="H8" s="6">
        <f>ABS(D8-D7)</f>
        <v/>
      </c>
      <c r="I8" s="6">
        <f>IF(ISNUMBER(G8),ABS(G8),"")</f>
        <v/>
      </c>
      <c r="J8" s="4">
        <f>IF(OR(J7,AND(ISNUMBER(H8),H8&lt;$B$4,I8&lt;$B$4)),TRUE,FALSE)</f>
        <v/>
      </c>
      <c r="K8" s="4">
        <f>IF(AND(J8,NOT(J7)),"&lt;= KONVERGEN",IF(J8,"","lanjut"))</f>
        <v/>
      </c>
    </row>
    <row r="9">
      <c r="A9" s="4" t="n">
        <v>3</v>
      </c>
      <c r="B9" s="6">
        <f>IF(J8,B8,IF(SIGN(G8)=SIGN(E8),D8,B8))</f>
        <v/>
      </c>
      <c r="C9" s="6">
        <f>IF(J8,C8,IF(SIGN(G8)=SIGN(E8),C8,D8))</f>
        <v/>
      </c>
      <c r="D9" s="6">
        <f>IF(J8,D8,IFERROR(B9-E9*(C9-B9)/(F9-E9),D8))</f>
        <v/>
      </c>
      <c r="E9" s="6">
        <f>B9+COS(B9)</f>
        <v/>
      </c>
      <c r="F9" s="6">
        <f>C9+COS(C9)</f>
        <v/>
      </c>
      <c r="G9" s="6">
        <f>D9+COS(D9)</f>
        <v/>
      </c>
      <c r="H9" s="6">
        <f>ABS(D9-D8)</f>
        <v/>
      </c>
      <c r="I9" s="6">
        <f>IF(ISNUMBER(G9),ABS(G9),"")</f>
        <v/>
      </c>
      <c r="J9" s="4">
        <f>IF(OR(J8,AND(ISNUMBER(H9),H9&lt;$B$4,I9&lt;$B$4)),TRUE,FALSE)</f>
        <v/>
      </c>
      <c r="K9" s="4">
        <f>IF(AND(J9,NOT(J8)),"&lt;= KONVERGEN",IF(J9,"","lanjut"))</f>
        <v/>
      </c>
    </row>
    <row r="10">
      <c r="A10" s="4" t="n">
        <v>4</v>
      </c>
      <c r="B10" s="6">
        <f>IF(J9,B9,IF(SIGN(G9)=SIGN(E9),D9,B9))</f>
        <v/>
      </c>
      <c r="C10" s="6">
        <f>IF(J9,C9,IF(SIGN(G9)=SIGN(E9),C9,D9))</f>
        <v/>
      </c>
      <c r="D10" s="6">
        <f>IF(J9,D9,IFERROR(B10-E10*(C10-B10)/(F10-E10),D9))</f>
        <v/>
      </c>
      <c r="E10" s="6">
        <f>B10+COS(B10)</f>
        <v/>
      </c>
      <c r="F10" s="6">
        <f>C10+COS(C10)</f>
        <v/>
      </c>
      <c r="G10" s="6">
        <f>D10+COS(D10)</f>
        <v/>
      </c>
      <c r="H10" s="6">
        <f>ABS(D10-D9)</f>
        <v/>
      </c>
      <c r="I10" s="6">
        <f>IF(ISNUMBER(G10),ABS(G10),"")</f>
        <v/>
      </c>
      <c r="J10" s="4">
        <f>IF(OR(J9,AND(ISNUMBER(H10),H10&lt;$B$4,I10&lt;$B$4)),TRUE,FALSE)</f>
        <v/>
      </c>
      <c r="K10" s="4">
        <f>IF(AND(J10,NOT(J9)),"&lt;= KONVERGEN",IF(J10,"","lanjut"))</f>
        <v/>
      </c>
    </row>
    <row r="11">
      <c r="A11" s="4" t="n">
        <v>5</v>
      </c>
      <c r="B11" s="6">
        <f>IF(J10,B10,IF(SIGN(G10)=SIGN(E10),D10,B10))</f>
        <v/>
      </c>
      <c r="C11" s="6">
        <f>IF(J10,C10,IF(SIGN(G10)=SIGN(E10),C10,D10))</f>
        <v/>
      </c>
      <c r="D11" s="6">
        <f>IF(J10,D10,IFERROR(B11-E11*(C11-B11)/(F11-E11),D10))</f>
        <v/>
      </c>
      <c r="E11" s="6">
        <f>B11+COS(B11)</f>
        <v/>
      </c>
      <c r="F11" s="6">
        <f>C11+COS(C11)</f>
        <v/>
      </c>
      <c r="G11" s="6">
        <f>D11+COS(D11)</f>
        <v/>
      </c>
      <c r="H11" s="6">
        <f>ABS(D11-D10)</f>
        <v/>
      </c>
      <c r="I11" s="6">
        <f>IF(ISNUMBER(G11),ABS(G11),"")</f>
        <v/>
      </c>
      <c r="J11" s="4">
        <f>IF(OR(J10,AND(ISNUMBER(H11),H11&lt;$B$4,I11&lt;$B$4)),TRUE,FALSE)</f>
        <v/>
      </c>
      <c r="K11" s="4">
        <f>IF(AND(J11,NOT(J10)),"&lt;= KONVERGEN",IF(J11,"","lanjut"))</f>
        <v/>
      </c>
    </row>
    <row r="12">
      <c r="A12" s="4" t="n">
        <v>6</v>
      </c>
      <c r="B12" s="6">
        <f>IF(J11,B11,IF(SIGN(G11)=SIGN(E11),D11,B11))</f>
        <v/>
      </c>
      <c r="C12" s="6">
        <f>IF(J11,C11,IF(SIGN(G11)=SIGN(E11),C11,D11))</f>
        <v/>
      </c>
      <c r="D12" s="6">
        <f>IF(J11,D11,IFERROR(B12-E12*(C12-B12)/(F12-E12),D11))</f>
        <v/>
      </c>
      <c r="E12" s="6">
        <f>B12+COS(B12)</f>
        <v/>
      </c>
      <c r="F12" s="6">
        <f>C12+COS(C12)</f>
        <v/>
      </c>
      <c r="G12" s="6">
        <f>D12+COS(D12)</f>
        <v/>
      </c>
      <c r="H12" s="6">
        <f>ABS(D12-D11)</f>
        <v/>
      </c>
      <c r="I12" s="6">
        <f>IF(ISNUMBER(G12),ABS(G12),"")</f>
        <v/>
      </c>
      <c r="J12" s="4">
        <f>IF(OR(J11,AND(ISNUMBER(H12),H12&lt;$B$4,I12&lt;$B$4)),TRUE,FALSE)</f>
        <v/>
      </c>
      <c r="K12" s="4">
        <f>IF(AND(J12,NOT(J11)),"&lt;= KONVERGEN",IF(J12,"","lanjut"))</f>
        <v/>
      </c>
    </row>
    <row r="13">
      <c r="A13" s="4" t="n">
        <v>7</v>
      </c>
      <c r="B13" s="6">
        <f>IF(J12,B12,IF(SIGN(G12)=SIGN(E12),D12,B12))</f>
        <v/>
      </c>
      <c r="C13" s="6">
        <f>IF(J12,C12,IF(SIGN(G12)=SIGN(E12),C12,D12))</f>
        <v/>
      </c>
      <c r="D13" s="6">
        <f>IF(J12,D12,IFERROR(B13-E13*(C13-B13)/(F13-E13),D12))</f>
        <v/>
      </c>
      <c r="E13" s="6">
        <f>B13+COS(B13)</f>
        <v/>
      </c>
      <c r="F13" s="6">
        <f>C13+COS(C13)</f>
        <v/>
      </c>
      <c r="G13" s="6">
        <f>D13+COS(D13)</f>
        <v/>
      </c>
      <c r="H13" s="6">
        <f>ABS(D13-D12)</f>
        <v/>
      </c>
      <c r="I13" s="6">
        <f>IF(ISNUMBER(G13),ABS(G13),"")</f>
        <v/>
      </c>
      <c r="J13" s="4">
        <f>IF(OR(J12,AND(ISNUMBER(H13),H13&lt;$B$4,I13&lt;$B$4)),TRUE,FALSE)</f>
        <v/>
      </c>
      <c r="K13" s="4">
        <f>IF(AND(J13,NOT(J12)),"&lt;= KONVERGEN",IF(J13,"","lanjut"))</f>
        <v/>
      </c>
    </row>
    <row r="14">
      <c r="A14" s="4" t="n">
        <v>8</v>
      </c>
      <c r="B14" s="6">
        <f>IF(J13,B13,IF(SIGN(G13)=SIGN(E13),D13,B13))</f>
        <v/>
      </c>
      <c r="C14" s="6">
        <f>IF(J13,C13,IF(SIGN(G13)=SIGN(E13),C13,D13))</f>
        <v/>
      </c>
      <c r="D14" s="6">
        <f>IF(J13,D13,IFERROR(B14-E14*(C14-B14)/(F14-E14),D13))</f>
        <v/>
      </c>
      <c r="E14" s="6">
        <f>B14+COS(B14)</f>
        <v/>
      </c>
      <c r="F14" s="6">
        <f>C14+COS(C14)</f>
        <v/>
      </c>
      <c r="G14" s="6">
        <f>D14+COS(D14)</f>
        <v/>
      </c>
      <c r="H14" s="6">
        <f>ABS(D14-D13)</f>
        <v/>
      </c>
      <c r="I14" s="6">
        <f>IF(ISNUMBER(G14),ABS(G14),"")</f>
        <v/>
      </c>
      <c r="J14" s="4">
        <f>IF(OR(J13,AND(ISNUMBER(H14),H14&lt;$B$4,I14&lt;$B$4)),TRUE,FALSE)</f>
        <v/>
      </c>
      <c r="K14" s="4">
        <f>IF(AND(J14,NOT(J13)),"&lt;= KONVERGEN",IF(J14,"","lanjut"))</f>
        <v/>
      </c>
    </row>
    <row r="15">
      <c r="A15" s="4" t="n">
        <v>9</v>
      </c>
      <c r="B15" s="6">
        <f>IF(J14,B14,IF(SIGN(G14)=SIGN(E14),D14,B14))</f>
        <v/>
      </c>
      <c r="C15" s="6">
        <f>IF(J14,C14,IF(SIGN(G14)=SIGN(E14),C14,D14))</f>
        <v/>
      </c>
      <c r="D15" s="6">
        <f>IF(J14,D14,IFERROR(B15-E15*(C15-B15)/(F15-E15),D14))</f>
        <v/>
      </c>
      <c r="E15" s="6">
        <f>B15+COS(B15)</f>
        <v/>
      </c>
      <c r="F15" s="6">
        <f>C15+COS(C15)</f>
        <v/>
      </c>
      <c r="G15" s="6">
        <f>D15+COS(D15)</f>
        <v/>
      </c>
      <c r="H15" s="6">
        <f>ABS(D15-D14)</f>
        <v/>
      </c>
      <c r="I15" s="6">
        <f>IF(ISNUMBER(G15),ABS(G15),"")</f>
        <v/>
      </c>
      <c r="J15" s="4">
        <f>IF(OR(J14,AND(ISNUMBER(H15),H15&lt;$B$4,I15&lt;$B$4)),TRUE,FALSE)</f>
        <v/>
      </c>
      <c r="K15" s="4">
        <f>IF(AND(J15,NOT(J14)),"&lt;= KONVERGEN",IF(J15,"","lanjut"))</f>
        <v/>
      </c>
    </row>
    <row r="16">
      <c r="A16" s="4" t="n">
        <v>10</v>
      </c>
      <c r="B16" s="6">
        <f>IF(J15,B15,IF(SIGN(G15)=SIGN(E15),D15,B15))</f>
        <v/>
      </c>
      <c r="C16" s="6">
        <f>IF(J15,C15,IF(SIGN(G15)=SIGN(E15),C15,D15))</f>
        <v/>
      </c>
      <c r="D16" s="6">
        <f>IF(J15,D15,IFERROR(B16-E16*(C16-B16)/(F16-E16),D15))</f>
        <v/>
      </c>
      <c r="E16" s="6">
        <f>B16+COS(B16)</f>
        <v/>
      </c>
      <c r="F16" s="6">
        <f>C16+COS(C16)</f>
        <v/>
      </c>
      <c r="G16" s="6">
        <f>D16+COS(D16)</f>
        <v/>
      </c>
      <c r="H16" s="6">
        <f>ABS(D16-D15)</f>
        <v/>
      </c>
      <c r="I16" s="6">
        <f>IF(ISNUMBER(G16),ABS(G16),"")</f>
        <v/>
      </c>
      <c r="J16" s="4">
        <f>IF(OR(J15,AND(ISNUMBER(H16),H16&lt;$B$4,I16&lt;$B$4)),TRUE,FALSE)</f>
        <v/>
      </c>
      <c r="K16" s="4">
        <f>IF(AND(J16,NOT(J15)),"&lt;= KONVERGEN",IF(J16,"","lanjut"))</f>
        <v/>
      </c>
    </row>
    <row r="17">
      <c r="A17" s="4" t="n">
        <v>11</v>
      </c>
      <c r="B17" s="6">
        <f>IF(J16,B16,IF(SIGN(G16)=SIGN(E16),D16,B16))</f>
        <v/>
      </c>
      <c r="C17" s="6">
        <f>IF(J16,C16,IF(SIGN(G16)=SIGN(E16),C16,D16))</f>
        <v/>
      </c>
      <c r="D17" s="6">
        <f>IF(J16,D16,IFERROR(B17-E17*(C17-B17)/(F17-E17),D16))</f>
        <v/>
      </c>
      <c r="E17" s="6">
        <f>B17+COS(B17)</f>
        <v/>
      </c>
      <c r="F17" s="6">
        <f>C17+COS(C17)</f>
        <v/>
      </c>
      <c r="G17" s="6">
        <f>D17+COS(D17)</f>
        <v/>
      </c>
      <c r="H17" s="6">
        <f>ABS(D17-D16)</f>
        <v/>
      </c>
      <c r="I17" s="6">
        <f>IF(ISNUMBER(G17),ABS(G17),"")</f>
        <v/>
      </c>
      <c r="J17" s="4">
        <f>IF(OR(J16,AND(ISNUMBER(H17),H17&lt;$B$4,I17&lt;$B$4)),TRUE,FALSE)</f>
        <v/>
      </c>
      <c r="K17" s="4">
        <f>IF(AND(J17,NOT(J16)),"&lt;= KONVERGEN",IF(J17,"","lanjut"))</f>
        <v/>
      </c>
    </row>
    <row r="18">
      <c r="A18" s="4" t="n">
        <v>12</v>
      </c>
      <c r="B18" s="6">
        <f>IF(J17,B17,IF(SIGN(G17)=SIGN(E17),D17,B17))</f>
        <v/>
      </c>
      <c r="C18" s="6">
        <f>IF(J17,C17,IF(SIGN(G17)=SIGN(E17),C17,D17))</f>
        <v/>
      </c>
      <c r="D18" s="6">
        <f>IF(J17,D17,IFERROR(B18-E18*(C18-B18)/(F18-E18),D17))</f>
        <v/>
      </c>
      <c r="E18" s="6">
        <f>B18+COS(B18)</f>
        <v/>
      </c>
      <c r="F18" s="6">
        <f>C18+COS(C18)</f>
        <v/>
      </c>
      <c r="G18" s="6">
        <f>D18+COS(D18)</f>
        <v/>
      </c>
      <c r="H18" s="6">
        <f>ABS(D18-D17)</f>
        <v/>
      </c>
      <c r="I18" s="6">
        <f>IF(ISNUMBER(G18),ABS(G18),"")</f>
        <v/>
      </c>
      <c r="J18" s="4">
        <f>IF(OR(J17,AND(ISNUMBER(H18),H18&lt;$B$4,I18&lt;$B$4)),TRUE,FALSE)</f>
        <v/>
      </c>
      <c r="K18" s="4">
        <f>IF(AND(J18,NOT(J17)),"&lt;= KONVERGEN",IF(J18,"","lanjut"))</f>
        <v/>
      </c>
    </row>
    <row r="19">
      <c r="A19" s="4" t="n">
        <v>13</v>
      </c>
      <c r="B19" s="6">
        <f>IF(J18,B18,IF(SIGN(G18)=SIGN(E18),D18,B18))</f>
        <v/>
      </c>
      <c r="C19" s="6">
        <f>IF(J18,C18,IF(SIGN(G18)=SIGN(E18),C18,D18))</f>
        <v/>
      </c>
      <c r="D19" s="6">
        <f>IF(J18,D18,IFERROR(B19-E19*(C19-B19)/(F19-E19),D18))</f>
        <v/>
      </c>
      <c r="E19" s="6">
        <f>B19+COS(B19)</f>
        <v/>
      </c>
      <c r="F19" s="6">
        <f>C19+COS(C19)</f>
        <v/>
      </c>
      <c r="G19" s="6">
        <f>D19+COS(D19)</f>
        <v/>
      </c>
      <c r="H19" s="6">
        <f>ABS(D19-D18)</f>
        <v/>
      </c>
      <c r="I19" s="6">
        <f>IF(ISNUMBER(G19),ABS(G19),"")</f>
        <v/>
      </c>
      <c r="J19" s="4">
        <f>IF(OR(J18,AND(ISNUMBER(H19),H19&lt;$B$4,I19&lt;$B$4)),TRUE,FALSE)</f>
        <v/>
      </c>
      <c r="K19" s="4">
        <f>IF(AND(J19,NOT(J18)),"&lt;= KONVERGEN",IF(J19,"","lanjut"))</f>
        <v/>
      </c>
    </row>
    <row r="20">
      <c r="A20" s="4" t="n">
        <v>14</v>
      </c>
      <c r="B20" s="6">
        <f>IF(J19,B19,IF(SIGN(G19)=SIGN(E19),D19,B19))</f>
        <v/>
      </c>
      <c r="C20" s="6">
        <f>IF(J19,C19,IF(SIGN(G19)=SIGN(E19),C19,D19))</f>
        <v/>
      </c>
      <c r="D20" s="6">
        <f>IF(J19,D19,IFERROR(B20-E20*(C20-B20)/(F20-E20),D19))</f>
        <v/>
      </c>
      <c r="E20" s="6">
        <f>B20+COS(B20)</f>
        <v/>
      </c>
      <c r="F20" s="6">
        <f>C20+COS(C20)</f>
        <v/>
      </c>
      <c r="G20" s="6">
        <f>D20+COS(D20)</f>
        <v/>
      </c>
      <c r="H20" s="6">
        <f>ABS(D20-D19)</f>
        <v/>
      </c>
      <c r="I20" s="6">
        <f>IF(ISNUMBER(G20),ABS(G20),"")</f>
        <v/>
      </c>
      <c r="J20" s="4">
        <f>IF(OR(J19,AND(ISNUMBER(H20),H20&lt;$B$4,I20&lt;$B$4)),TRUE,FALSE)</f>
        <v/>
      </c>
      <c r="K20" s="4">
        <f>IF(AND(J20,NOT(J19)),"&lt;= KONVERGEN",IF(J20,"","lanjut"))</f>
        <v/>
      </c>
    </row>
    <row r="21">
      <c r="A21" s="4" t="n">
        <v>15</v>
      </c>
      <c r="B21" s="6">
        <f>IF(J20,B20,IF(SIGN(G20)=SIGN(E20),D20,B20))</f>
        <v/>
      </c>
      <c r="C21" s="6">
        <f>IF(J20,C20,IF(SIGN(G20)=SIGN(E20),C20,D20))</f>
        <v/>
      </c>
      <c r="D21" s="6">
        <f>IF(J20,D20,IFERROR(B21-E21*(C21-B21)/(F21-E21),D20))</f>
        <v/>
      </c>
      <c r="E21" s="6">
        <f>B21+COS(B21)</f>
        <v/>
      </c>
      <c r="F21" s="6">
        <f>C21+COS(C21)</f>
        <v/>
      </c>
      <c r="G21" s="6">
        <f>D21+COS(D21)</f>
        <v/>
      </c>
      <c r="H21" s="6">
        <f>ABS(D21-D20)</f>
        <v/>
      </c>
      <c r="I21" s="6">
        <f>IF(ISNUMBER(G21),ABS(G21),"")</f>
        <v/>
      </c>
      <c r="J21" s="4">
        <f>IF(OR(J20,AND(ISNUMBER(H21),H21&lt;$B$4,I21&lt;$B$4)),TRUE,FALSE)</f>
        <v/>
      </c>
      <c r="K21" s="4">
        <f>IF(AND(J21,NOT(J20)),"&lt;= KONVERGEN",IF(J21,"","lanjut"))</f>
        <v/>
      </c>
    </row>
    <row r="22">
      <c r="A22" s="4" t="n">
        <v>16</v>
      </c>
      <c r="B22" s="6">
        <f>IF(J21,B21,IF(SIGN(G21)=SIGN(E21),D21,B21))</f>
        <v/>
      </c>
      <c r="C22" s="6">
        <f>IF(J21,C21,IF(SIGN(G21)=SIGN(E21),C21,D21))</f>
        <v/>
      </c>
      <c r="D22" s="6">
        <f>IF(J21,D21,IFERROR(B22-E22*(C22-B22)/(F22-E22),D21))</f>
        <v/>
      </c>
      <c r="E22" s="6">
        <f>B22+COS(B22)</f>
        <v/>
      </c>
      <c r="F22" s="6">
        <f>C22+COS(C22)</f>
        <v/>
      </c>
      <c r="G22" s="6">
        <f>D22+COS(D22)</f>
        <v/>
      </c>
      <c r="H22" s="6">
        <f>ABS(D22-D21)</f>
        <v/>
      </c>
      <c r="I22" s="6">
        <f>IF(ISNUMBER(G22),ABS(G22),"")</f>
        <v/>
      </c>
      <c r="J22" s="4">
        <f>IF(OR(J21,AND(ISNUMBER(H22),H22&lt;$B$4,I22&lt;$B$4)),TRUE,FALSE)</f>
        <v/>
      </c>
      <c r="K22" s="4">
        <f>IF(AND(J22,NOT(J21)),"&lt;= KONVERGEN",IF(J22,"","lanjut"))</f>
        <v/>
      </c>
    </row>
    <row r="23">
      <c r="A23" s="4" t="n">
        <v>17</v>
      </c>
      <c r="B23" s="6">
        <f>IF(J22,B22,IF(SIGN(G22)=SIGN(E22),D22,B22))</f>
        <v/>
      </c>
      <c r="C23" s="6">
        <f>IF(J22,C22,IF(SIGN(G22)=SIGN(E22),C22,D22))</f>
        <v/>
      </c>
      <c r="D23" s="6">
        <f>IF(J22,D22,IFERROR(B23-E23*(C23-B23)/(F23-E23),D22))</f>
        <v/>
      </c>
      <c r="E23" s="6">
        <f>B23+COS(B23)</f>
        <v/>
      </c>
      <c r="F23" s="6">
        <f>C23+COS(C23)</f>
        <v/>
      </c>
      <c r="G23" s="6">
        <f>D23+COS(D23)</f>
        <v/>
      </c>
      <c r="H23" s="6">
        <f>ABS(D23-D22)</f>
        <v/>
      </c>
      <c r="I23" s="6">
        <f>IF(ISNUMBER(G23),ABS(G23),"")</f>
        <v/>
      </c>
      <c r="J23" s="4">
        <f>IF(OR(J22,AND(ISNUMBER(H23),H23&lt;$B$4,I23&lt;$B$4)),TRUE,FALSE)</f>
        <v/>
      </c>
      <c r="K23" s="4">
        <f>IF(AND(J23,NOT(J22)),"&lt;= KONVERGEN",IF(J23,"","lanjut"))</f>
        <v/>
      </c>
    </row>
    <row r="24">
      <c r="A24" s="4" t="n">
        <v>18</v>
      </c>
      <c r="B24" s="6">
        <f>IF(J23,B23,IF(SIGN(G23)=SIGN(E23),D23,B23))</f>
        <v/>
      </c>
      <c r="C24" s="6">
        <f>IF(J23,C23,IF(SIGN(G23)=SIGN(E23),C23,D23))</f>
        <v/>
      </c>
      <c r="D24" s="6">
        <f>IF(J23,D23,IFERROR(B24-E24*(C24-B24)/(F24-E24),D23))</f>
        <v/>
      </c>
      <c r="E24" s="6">
        <f>B24+COS(B24)</f>
        <v/>
      </c>
      <c r="F24" s="6">
        <f>C24+COS(C24)</f>
        <v/>
      </c>
      <c r="G24" s="6">
        <f>D24+COS(D24)</f>
        <v/>
      </c>
      <c r="H24" s="6">
        <f>ABS(D24-D23)</f>
        <v/>
      </c>
      <c r="I24" s="6">
        <f>IF(ISNUMBER(G24),ABS(G24),"")</f>
        <v/>
      </c>
      <c r="J24" s="4">
        <f>IF(OR(J23,AND(ISNUMBER(H24),H24&lt;$B$4,I24&lt;$B$4)),TRUE,FALSE)</f>
        <v/>
      </c>
      <c r="K24" s="4">
        <f>IF(AND(J24,NOT(J23)),"&lt;= KONVERGEN",IF(J24,"","lanjut"))</f>
        <v/>
      </c>
    </row>
    <row r="25">
      <c r="A25" s="4" t="n">
        <v>19</v>
      </c>
      <c r="B25" s="6">
        <f>IF(J24,B24,IF(SIGN(G24)=SIGN(E24),D24,B24))</f>
        <v/>
      </c>
      <c r="C25" s="6">
        <f>IF(J24,C24,IF(SIGN(G24)=SIGN(E24),C24,D24))</f>
        <v/>
      </c>
      <c r="D25" s="6">
        <f>IF(J24,D24,IFERROR(B25-E25*(C25-B25)/(F25-E25),D24))</f>
        <v/>
      </c>
      <c r="E25" s="6">
        <f>B25+COS(B25)</f>
        <v/>
      </c>
      <c r="F25" s="6">
        <f>C25+COS(C25)</f>
        <v/>
      </c>
      <c r="G25" s="6">
        <f>D25+COS(D25)</f>
        <v/>
      </c>
      <c r="H25" s="6">
        <f>ABS(D25-D24)</f>
        <v/>
      </c>
      <c r="I25" s="6">
        <f>IF(ISNUMBER(G25),ABS(G25),"")</f>
        <v/>
      </c>
      <c r="J25" s="4">
        <f>IF(OR(J24,AND(ISNUMBER(H25),H25&lt;$B$4,I25&lt;$B$4)),TRUE,FALSE)</f>
        <v/>
      </c>
      <c r="K25" s="4">
        <f>IF(AND(J25,NOT(J24)),"&lt;= KONVERGEN",IF(J25,"","lanjut"))</f>
        <v/>
      </c>
    </row>
    <row r="26">
      <c r="A26" s="4" t="n">
        <v>20</v>
      </c>
      <c r="B26" s="6">
        <f>IF(J25,B25,IF(SIGN(G25)=SIGN(E25),D25,B25))</f>
        <v/>
      </c>
      <c r="C26" s="6">
        <f>IF(J25,C25,IF(SIGN(G25)=SIGN(E25),C25,D25))</f>
        <v/>
      </c>
      <c r="D26" s="6">
        <f>IF(J25,D25,IFERROR(B26-E26*(C26-B26)/(F26-E26),D25))</f>
        <v/>
      </c>
      <c r="E26" s="6">
        <f>B26+COS(B26)</f>
        <v/>
      </c>
      <c r="F26" s="6">
        <f>C26+COS(C26)</f>
        <v/>
      </c>
      <c r="G26" s="6">
        <f>D26+COS(D26)</f>
        <v/>
      </c>
      <c r="H26" s="6">
        <f>ABS(D26-D25)</f>
        <v/>
      </c>
      <c r="I26" s="6">
        <f>IF(ISNUMBER(G26),ABS(G26),"")</f>
        <v/>
      </c>
      <c r="J26" s="4">
        <f>IF(OR(J25,AND(ISNUMBER(H26),H26&lt;$B$4,I26&lt;$B$4)),TRUE,FALSE)</f>
        <v/>
      </c>
      <c r="K26" s="4">
        <f>IF(AND(J26,NOT(J25)),"&lt;= KONVERGEN",IF(J26,"","lanjut"))</f>
        <v/>
      </c>
    </row>
    <row r="28">
      <c r="A28" s="9" t="inlineStr">
        <is>
          <t>Akar:</t>
        </is>
      </c>
      <c r="B28" s="11">
        <f>D26</f>
        <v/>
      </c>
      <c r="D28" s="7" t="inlineStr">
        <is>
          <t>f(akar):</t>
        </is>
      </c>
      <c r="E28" s="12">
        <f>G26</f>
        <v/>
      </c>
    </row>
    <row r="29">
      <c r="A29" t="inlineStr">
        <is>
          <t>Jumlah iterasi sampai konvergen:</t>
        </is>
      </c>
      <c r="D29" s="13">
        <f>IFERROR(MATCH(TRUE,J7:J26,0),"-")</f>
        <v/>
      </c>
    </row>
  </sheetData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5" customWidth="1" min="8" max="8"/>
    <col width="13" customWidth="1" min="9" max="9"/>
    <col width="9" customWidth="1" min="10" max="10"/>
    <col width="14" customWidth="1" min="11" max="11"/>
  </cols>
  <sheetData>
    <row r="1">
      <c r="A1" s="8" t="inlineStr">
        <is>
          <t>SOAL 7 - METODE REGULA FALSI</t>
        </is>
      </c>
    </row>
    <row r="2">
      <c r="A2" s="9" t="inlineStr">
        <is>
          <t>f(x) = 2x - log x - 6 = 0   (log basis 10)</t>
        </is>
      </c>
    </row>
    <row r="3">
      <c r="A3" s="7" t="inlineStr">
        <is>
          <t>Interval:</t>
        </is>
      </c>
      <c r="B3" t="inlineStr">
        <is>
          <t>a =</t>
        </is>
      </c>
      <c r="C3" s="10" t="n">
        <v>3</v>
      </c>
      <c r="D3" t="inlineStr">
        <is>
          <t>b =</t>
        </is>
      </c>
      <c r="E3" s="10" t="n">
        <v>3.5</v>
      </c>
    </row>
    <row r="4">
      <c r="A4" s="7" t="inlineStr">
        <is>
          <t>Toleransi:</t>
        </is>
      </c>
      <c r="B4" s="10" t="n">
        <v>0.001</v>
      </c>
      <c r="C4" t="inlineStr">
        <is>
          <t>berhenti bila |x(k) - x(k-1)| &lt; tol  dan  |f(x)| &lt; tol</t>
        </is>
      </c>
    </row>
    <row r="6">
      <c r="A6" s="3" t="inlineStr">
        <is>
          <t>Iterasi k</t>
        </is>
      </c>
      <c r="B6" s="3" t="inlineStr">
        <is>
          <t>a</t>
        </is>
      </c>
      <c r="C6" s="3" t="inlineStr">
        <is>
          <t>b</t>
        </is>
      </c>
      <c r="D6" s="3" t="inlineStr">
        <is>
          <t>x(k)</t>
        </is>
      </c>
      <c r="E6" s="3" t="inlineStr">
        <is>
          <t>f(a)</t>
        </is>
      </c>
      <c r="F6" s="3" t="inlineStr">
        <is>
          <t>f(b)</t>
        </is>
      </c>
      <c r="G6" s="3" t="inlineStr">
        <is>
          <t>f(x(k))</t>
        </is>
      </c>
      <c r="H6" s="3" t="inlineStr">
        <is>
          <t>|x(k)-x(k-1)|</t>
        </is>
      </c>
      <c r="I6" s="3" t="inlineStr">
        <is>
          <t>|f(x(k))|</t>
        </is>
      </c>
      <c r="J6" s="3" t="inlineStr">
        <is>
          <t>selesai?</t>
        </is>
      </c>
      <c r="K6" s="3" t="inlineStr">
        <is>
          <t>Status</t>
        </is>
      </c>
    </row>
    <row r="7">
      <c r="A7" s="4" t="n">
        <v>1</v>
      </c>
      <c r="B7" s="6">
        <f>C3</f>
        <v/>
      </c>
      <c r="C7" s="6">
        <f>E3</f>
        <v/>
      </c>
      <c r="D7" s="6">
        <f>IFERROR(B7-E7*(C7-B7)/(F7-E7),"")</f>
        <v/>
      </c>
      <c r="E7" s="6">
        <f>2*B7-LOG10(B7)-6</f>
        <v/>
      </c>
      <c r="F7" s="6">
        <f>2*C7-LOG10(C7)-6</f>
        <v/>
      </c>
      <c r="G7" s="6">
        <f>2*D7-LOG10(D7)-6</f>
        <v/>
      </c>
      <c r="H7" s="6" t="n"/>
      <c r="I7" s="6">
        <f>IF(ISNUMBER(G7),ABS(G7),"")</f>
        <v/>
      </c>
      <c r="J7" s="4">
        <f>IF(AND(ISNUMBER(H7),H7&lt;$B$4,I7&lt;$B$4),TRUE,FALSE)</f>
        <v/>
      </c>
      <c r="K7" s="4">
        <f>IF(J7,"&lt;= KONVERGEN","lanjut")</f>
        <v/>
      </c>
    </row>
    <row r="8">
      <c r="A8" s="4" t="n">
        <v>2</v>
      </c>
      <c r="B8" s="6">
        <f>IF(J7,B7,IF(SIGN(G7)=SIGN(E7),D7,B7))</f>
        <v/>
      </c>
      <c r="C8" s="6">
        <f>IF(J7,C7,IF(SIGN(G7)=SIGN(E7),C7,D7))</f>
        <v/>
      </c>
      <c r="D8" s="6">
        <f>IF(J7,D7,IFERROR(B8-E8*(C8-B8)/(F8-E8),D7))</f>
        <v/>
      </c>
      <c r="E8" s="6">
        <f>2*B8-LOG10(B8)-6</f>
        <v/>
      </c>
      <c r="F8" s="6">
        <f>2*C8-LOG10(C8)-6</f>
        <v/>
      </c>
      <c r="G8" s="6">
        <f>2*D8-LOG10(D8)-6</f>
        <v/>
      </c>
      <c r="H8" s="6">
        <f>ABS(D8-D7)</f>
        <v/>
      </c>
      <c r="I8" s="6">
        <f>IF(ISNUMBER(G8),ABS(G8),"")</f>
        <v/>
      </c>
      <c r="J8" s="4">
        <f>IF(OR(J7,AND(ISNUMBER(H8),H8&lt;$B$4,I8&lt;$B$4)),TRUE,FALSE)</f>
        <v/>
      </c>
      <c r="K8" s="4">
        <f>IF(AND(J8,NOT(J7)),"&lt;= KONVERGEN",IF(J8,"","lanjut"))</f>
        <v/>
      </c>
    </row>
    <row r="9">
      <c r="A9" s="4" t="n">
        <v>3</v>
      </c>
      <c r="B9" s="6">
        <f>IF(J8,B8,IF(SIGN(G8)=SIGN(E8),D8,B8))</f>
        <v/>
      </c>
      <c r="C9" s="6">
        <f>IF(J8,C8,IF(SIGN(G8)=SIGN(E8),C8,D8))</f>
        <v/>
      </c>
      <c r="D9" s="6">
        <f>IF(J8,D8,IFERROR(B9-E9*(C9-B9)/(F9-E9),D8))</f>
        <v/>
      </c>
      <c r="E9" s="6">
        <f>2*B9-LOG10(B9)-6</f>
        <v/>
      </c>
      <c r="F9" s="6">
        <f>2*C9-LOG10(C9)-6</f>
        <v/>
      </c>
      <c r="G9" s="6">
        <f>2*D9-LOG10(D9)-6</f>
        <v/>
      </c>
      <c r="H9" s="6">
        <f>ABS(D9-D8)</f>
        <v/>
      </c>
      <c r="I9" s="6">
        <f>IF(ISNUMBER(G9),ABS(G9),"")</f>
        <v/>
      </c>
      <c r="J9" s="4">
        <f>IF(OR(J8,AND(ISNUMBER(H9),H9&lt;$B$4,I9&lt;$B$4)),TRUE,FALSE)</f>
        <v/>
      </c>
      <c r="K9" s="4">
        <f>IF(AND(J9,NOT(J8)),"&lt;= KONVERGEN",IF(J9,"","lanjut"))</f>
        <v/>
      </c>
    </row>
    <row r="10">
      <c r="A10" s="4" t="n">
        <v>4</v>
      </c>
      <c r="B10" s="6">
        <f>IF(J9,B9,IF(SIGN(G9)=SIGN(E9),D9,B9))</f>
        <v/>
      </c>
      <c r="C10" s="6">
        <f>IF(J9,C9,IF(SIGN(G9)=SIGN(E9),C9,D9))</f>
        <v/>
      </c>
      <c r="D10" s="6">
        <f>IF(J9,D9,IFERROR(B10-E10*(C10-B10)/(F10-E10),D9))</f>
        <v/>
      </c>
      <c r="E10" s="6">
        <f>2*B10-LOG10(B10)-6</f>
        <v/>
      </c>
      <c r="F10" s="6">
        <f>2*C10-LOG10(C10)-6</f>
        <v/>
      </c>
      <c r="G10" s="6">
        <f>2*D10-LOG10(D10)-6</f>
        <v/>
      </c>
      <c r="H10" s="6">
        <f>ABS(D10-D9)</f>
        <v/>
      </c>
      <c r="I10" s="6">
        <f>IF(ISNUMBER(G10),ABS(G10),"")</f>
        <v/>
      </c>
      <c r="J10" s="4">
        <f>IF(OR(J9,AND(ISNUMBER(H10),H10&lt;$B$4,I10&lt;$B$4)),TRUE,FALSE)</f>
        <v/>
      </c>
      <c r="K10" s="4">
        <f>IF(AND(J10,NOT(J9)),"&lt;= KONVERGEN",IF(J10,"","lanjut"))</f>
        <v/>
      </c>
    </row>
    <row r="11">
      <c r="A11" s="4" t="n">
        <v>5</v>
      </c>
      <c r="B11" s="6">
        <f>IF(J10,B10,IF(SIGN(G10)=SIGN(E10),D10,B10))</f>
        <v/>
      </c>
      <c r="C11" s="6">
        <f>IF(J10,C10,IF(SIGN(G10)=SIGN(E10),C10,D10))</f>
        <v/>
      </c>
      <c r="D11" s="6">
        <f>IF(J10,D10,IFERROR(B11-E11*(C11-B11)/(F11-E11),D10))</f>
        <v/>
      </c>
      <c r="E11" s="6">
        <f>2*B11-LOG10(B11)-6</f>
        <v/>
      </c>
      <c r="F11" s="6">
        <f>2*C11-LOG10(C11)-6</f>
        <v/>
      </c>
      <c r="G11" s="6">
        <f>2*D11-LOG10(D11)-6</f>
        <v/>
      </c>
      <c r="H11" s="6">
        <f>ABS(D11-D10)</f>
        <v/>
      </c>
      <c r="I11" s="6">
        <f>IF(ISNUMBER(G11),ABS(G11),"")</f>
        <v/>
      </c>
      <c r="J11" s="4">
        <f>IF(OR(J10,AND(ISNUMBER(H11),H11&lt;$B$4,I11&lt;$B$4)),TRUE,FALSE)</f>
        <v/>
      </c>
      <c r="K11" s="4">
        <f>IF(AND(J11,NOT(J10)),"&lt;= KONVERGEN",IF(J11,"","lanjut"))</f>
        <v/>
      </c>
    </row>
    <row r="12">
      <c r="A12" s="4" t="n">
        <v>6</v>
      </c>
      <c r="B12" s="6">
        <f>IF(J11,B11,IF(SIGN(G11)=SIGN(E11),D11,B11))</f>
        <v/>
      </c>
      <c r="C12" s="6">
        <f>IF(J11,C11,IF(SIGN(G11)=SIGN(E11),C11,D11))</f>
        <v/>
      </c>
      <c r="D12" s="6">
        <f>IF(J11,D11,IFERROR(B12-E12*(C12-B12)/(F12-E12),D11))</f>
        <v/>
      </c>
      <c r="E12" s="6">
        <f>2*B12-LOG10(B12)-6</f>
        <v/>
      </c>
      <c r="F12" s="6">
        <f>2*C12-LOG10(C12)-6</f>
        <v/>
      </c>
      <c r="G12" s="6">
        <f>2*D12-LOG10(D12)-6</f>
        <v/>
      </c>
      <c r="H12" s="6">
        <f>ABS(D12-D11)</f>
        <v/>
      </c>
      <c r="I12" s="6">
        <f>IF(ISNUMBER(G12),ABS(G12),"")</f>
        <v/>
      </c>
      <c r="J12" s="4">
        <f>IF(OR(J11,AND(ISNUMBER(H12),H12&lt;$B$4,I12&lt;$B$4)),TRUE,FALSE)</f>
        <v/>
      </c>
      <c r="K12" s="4">
        <f>IF(AND(J12,NOT(J11)),"&lt;= KONVERGEN",IF(J12,"","lanjut"))</f>
        <v/>
      </c>
    </row>
    <row r="13">
      <c r="A13" s="4" t="n">
        <v>7</v>
      </c>
      <c r="B13" s="6">
        <f>IF(J12,B12,IF(SIGN(G12)=SIGN(E12),D12,B12))</f>
        <v/>
      </c>
      <c r="C13" s="6">
        <f>IF(J12,C12,IF(SIGN(G12)=SIGN(E12),C12,D12))</f>
        <v/>
      </c>
      <c r="D13" s="6">
        <f>IF(J12,D12,IFERROR(B13-E13*(C13-B13)/(F13-E13),D12))</f>
        <v/>
      </c>
      <c r="E13" s="6">
        <f>2*B13-LOG10(B13)-6</f>
        <v/>
      </c>
      <c r="F13" s="6">
        <f>2*C13-LOG10(C13)-6</f>
        <v/>
      </c>
      <c r="G13" s="6">
        <f>2*D13-LOG10(D13)-6</f>
        <v/>
      </c>
      <c r="H13" s="6">
        <f>ABS(D13-D12)</f>
        <v/>
      </c>
      <c r="I13" s="6">
        <f>IF(ISNUMBER(G13),ABS(G13),"")</f>
        <v/>
      </c>
      <c r="J13" s="4">
        <f>IF(OR(J12,AND(ISNUMBER(H13),H13&lt;$B$4,I13&lt;$B$4)),TRUE,FALSE)</f>
        <v/>
      </c>
      <c r="K13" s="4">
        <f>IF(AND(J13,NOT(J12)),"&lt;= KONVERGEN",IF(J13,"","lanjut"))</f>
        <v/>
      </c>
    </row>
    <row r="14">
      <c r="A14" s="4" t="n">
        <v>8</v>
      </c>
      <c r="B14" s="6">
        <f>IF(J13,B13,IF(SIGN(G13)=SIGN(E13),D13,B13))</f>
        <v/>
      </c>
      <c r="C14" s="6">
        <f>IF(J13,C13,IF(SIGN(G13)=SIGN(E13),C13,D13))</f>
        <v/>
      </c>
      <c r="D14" s="6">
        <f>IF(J13,D13,IFERROR(B14-E14*(C14-B14)/(F14-E14),D13))</f>
        <v/>
      </c>
      <c r="E14" s="6">
        <f>2*B14-LOG10(B14)-6</f>
        <v/>
      </c>
      <c r="F14" s="6">
        <f>2*C14-LOG10(C14)-6</f>
        <v/>
      </c>
      <c r="G14" s="6">
        <f>2*D14-LOG10(D14)-6</f>
        <v/>
      </c>
      <c r="H14" s="6">
        <f>ABS(D14-D13)</f>
        <v/>
      </c>
      <c r="I14" s="6">
        <f>IF(ISNUMBER(G14),ABS(G14),"")</f>
        <v/>
      </c>
      <c r="J14" s="4">
        <f>IF(OR(J13,AND(ISNUMBER(H14),H14&lt;$B$4,I14&lt;$B$4)),TRUE,FALSE)</f>
        <v/>
      </c>
      <c r="K14" s="4">
        <f>IF(AND(J14,NOT(J13)),"&lt;= KONVERGEN",IF(J14,"","lanjut"))</f>
        <v/>
      </c>
    </row>
    <row r="15">
      <c r="A15" s="4" t="n">
        <v>9</v>
      </c>
      <c r="B15" s="6">
        <f>IF(J14,B14,IF(SIGN(G14)=SIGN(E14),D14,B14))</f>
        <v/>
      </c>
      <c r="C15" s="6">
        <f>IF(J14,C14,IF(SIGN(G14)=SIGN(E14),C14,D14))</f>
        <v/>
      </c>
      <c r="D15" s="6">
        <f>IF(J14,D14,IFERROR(B15-E15*(C15-B15)/(F15-E15),D14))</f>
        <v/>
      </c>
      <c r="E15" s="6">
        <f>2*B15-LOG10(B15)-6</f>
        <v/>
      </c>
      <c r="F15" s="6">
        <f>2*C15-LOG10(C15)-6</f>
        <v/>
      </c>
      <c r="G15" s="6">
        <f>2*D15-LOG10(D15)-6</f>
        <v/>
      </c>
      <c r="H15" s="6">
        <f>ABS(D15-D14)</f>
        <v/>
      </c>
      <c r="I15" s="6">
        <f>IF(ISNUMBER(G15),ABS(G15),"")</f>
        <v/>
      </c>
      <c r="J15" s="4">
        <f>IF(OR(J14,AND(ISNUMBER(H15),H15&lt;$B$4,I15&lt;$B$4)),TRUE,FALSE)</f>
        <v/>
      </c>
      <c r="K15" s="4">
        <f>IF(AND(J15,NOT(J14)),"&lt;= KONVERGEN",IF(J15,"","lanjut"))</f>
        <v/>
      </c>
    </row>
    <row r="16">
      <c r="A16" s="4" t="n">
        <v>10</v>
      </c>
      <c r="B16" s="6">
        <f>IF(J15,B15,IF(SIGN(G15)=SIGN(E15),D15,B15))</f>
        <v/>
      </c>
      <c r="C16" s="6">
        <f>IF(J15,C15,IF(SIGN(G15)=SIGN(E15),C15,D15))</f>
        <v/>
      </c>
      <c r="D16" s="6">
        <f>IF(J15,D15,IFERROR(B16-E16*(C16-B16)/(F16-E16),D15))</f>
        <v/>
      </c>
      <c r="E16" s="6">
        <f>2*B16-LOG10(B16)-6</f>
        <v/>
      </c>
      <c r="F16" s="6">
        <f>2*C16-LOG10(C16)-6</f>
        <v/>
      </c>
      <c r="G16" s="6">
        <f>2*D16-LOG10(D16)-6</f>
        <v/>
      </c>
      <c r="H16" s="6">
        <f>ABS(D16-D15)</f>
        <v/>
      </c>
      <c r="I16" s="6">
        <f>IF(ISNUMBER(G16),ABS(G16),"")</f>
        <v/>
      </c>
      <c r="J16" s="4">
        <f>IF(OR(J15,AND(ISNUMBER(H16),H16&lt;$B$4,I16&lt;$B$4)),TRUE,FALSE)</f>
        <v/>
      </c>
      <c r="K16" s="4">
        <f>IF(AND(J16,NOT(J15)),"&lt;= KONVERGEN",IF(J16,"","lanjut"))</f>
        <v/>
      </c>
    </row>
    <row r="17">
      <c r="A17" s="4" t="n">
        <v>11</v>
      </c>
      <c r="B17" s="6">
        <f>IF(J16,B16,IF(SIGN(G16)=SIGN(E16),D16,B16))</f>
        <v/>
      </c>
      <c r="C17" s="6">
        <f>IF(J16,C16,IF(SIGN(G16)=SIGN(E16),C16,D16))</f>
        <v/>
      </c>
      <c r="D17" s="6">
        <f>IF(J16,D16,IFERROR(B17-E17*(C17-B17)/(F17-E17),D16))</f>
        <v/>
      </c>
      <c r="E17" s="6">
        <f>2*B17-LOG10(B17)-6</f>
        <v/>
      </c>
      <c r="F17" s="6">
        <f>2*C17-LOG10(C17)-6</f>
        <v/>
      </c>
      <c r="G17" s="6">
        <f>2*D17-LOG10(D17)-6</f>
        <v/>
      </c>
      <c r="H17" s="6">
        <f>ABS(D17-D16)</f>
        <v/>
      </c>
      <c r="I17" s="6">
        <f>IF(ISNUMBER(G17),ABS(G17),"")</f>
        <v/>
      </c>
      <c r="J17" s="4">
        <f>IF(OR(J16,AND(ISNUMBER(H17),H17&lt;$B$4,I17&lt;$B$4)),TRUE,FALSE)</f>
        <v/>
      </c>
      <c r="K17" s="4">
        <f>IF(AND(J17,NOT(J16)),"&lt;= KONVERGEN",IF(J17,"","lanjut"))</f>
        <v/>
      </c>
    </row>
    <row r="18">
      <c r="A18" s="4" t="n">
        <v>12</v>
      </c>
      <c r="B18" s="6">
        <f>IF(J17,B17,IF(SIGN(G17)=SIGN(E17),D17,B17))</f>
        <v/>
      </c>
      <c r="C18" s="6">
        <f>IF(J17,C17,IF(SIGN(G17)=SIGN(E17),C17,D17))</f>
        <v/>
      </c>
      <c r="D18" s="6">
        <f>IF(J17,D17,IFERROR(B18-E18*(C18-B18)/(F18-E18),D17))</f>
        <v/>
      </c>
      <c r="E18" s="6">
        <f>2*B18-LOG10(B18)-6</f>
        <v/>
      </c>
      <c r="F18" s="6">
        <f>2*C18-LOG10(C18)-6</f>
        <v/>
      </c>
      <c r="G18" s="6">
        <f>2*D18-LOG10(D18)-6</f>
        <v/>
      </c>
      <c r="H18" s="6">
        <f>ABS(D18-D17)</f>
        <v/>
      </c>
      <c r="I18" s="6">
        <f>IF(ISNUMBER(G18),ABS(G18),"")</f>
        <v/>
      </c>
      <c r="J18" s="4">
        <f>IF(OR(J17,AND(ISNUMBER(H18),H18&lt;$B$4,I18&lt;$B$4)),TRUE,FALSE)</f>
        <v/>
      </c>
      <c r="K18" s="4">
        <f>IF(AND(J18,NOT(J17)),"&lt;= KONVERGEN",IF(J18,"","lanjut"))</f>
        <v/>
      </c>
    </row>
    <row r="19">
      <c r="A19" s="4" t="n">
        <v>13</v>
      </c>
      <c r="B19" s="6">
        <f>IF(J18,B18,IF(SIGN(G18)=SIGN(E18),D18,B18))</f>
        <v/>
      </c>
      <c r="C19" s="6">
        <f>IF(J18,C18,IF(SIGN(G18)=SIGN(E18),C18,D18))</f>
        <v/>
      </c>
      <c r="D19" s="6">
        <f>IF(J18,D18,IFERROR(B19-E19*(C19-B19)/(F19-E19),D18))</f>
        <v/>
      </c>
      <c r="E19" s="6">
        <f>2*B19-LOG10(B19)-6</f>
        <v/>
      </c>
      <c r="F19" s="6">
        <f>2*C19-LOG10(C19)-6</f>
        <v/>
      </c>
      <c r="G19" s="6">
        <f>2*D19-LOG10(D19)-6</f>
        <v/>
      </c>
      <c r="H19" s="6">
        <f>ABS(D19-D18)</f>
        <v/>
      </c>
      <c r="I19" s="6">
        <f>IF(ISNUMBER(G19),ABS(G19),"")</f>
        <v/>
      </c>
      <c r="J19" s="4">
        <f>IF(OR(J18,AND(ISNUMBER(H19),H19&lt;$B$4,I19&lt;$B$4)),TRUE,FALSE)</f>
        <v/>
      </c>
      <c r="K19" s="4">
        <f>IF(AND(J19,NOT(J18)),"&lt;= KONVERGEN",IF(J19,"","lanjut"))</f>
        <v/>
      </c>
    </row>
    <row r="20">
      <c r="A20" s="4" t="n">
        <v>14</v>
      </c>
      <c r="B20" s="6">
        <f>IF(J19,B19,IF(SIGN(G19)=SIGN(E19),D19,B19))</f>
        <v/>
      </c>
      <c r="C20" s="6">
        <f>IF(J19,C19,IF(SIGN(G19)=SIGN(E19),C19,D19))</f>
        <v/>
      </c>
      <c r="D20" s="6">
        <f>IF(J19,D19,IFERROR(B20-E20*(C20-B20)/(F20-E20),D19))</f>
        <v/>
      </c>
      <c r="E20" s="6">
        <f>2*B20-LOG10(B20)-6</f>
        <v/>
      </c>
      <c r="F20" s="6">
        <f>2*C20-LOG10(C20)-6</f>
        <v/>
      </c>
      <c r="G20" s="6">
        <f>2*D20-LOG10(D20)-6</f>
        <v/>
      </c>
      <c r="H20" s="6">
        <f>ABS(D20-D19)</f>
        <v/>
      </c>
      <c r="I20" s="6">
        <f>IF(ISNUMBER(G20),ABS(G20),"")</f>
        <v/>
      </c>
      <c r="J20" s="4">
        <f>IF(OR(J19,AND(ISNUMBER(H20),H20&lt;$B$4,I20&lt;$B$4)),TRUE,FALSE)</f>
        <v/>
      </c>
      <c r="K20" s="4">
        <f>IF(AND(J20,NOT(J19)),"&lt;= KONVERGEN",IF(J20,"","lanjut"))</f>
        <v/>
      </c>
    </row>
    <row r="21">
      <c r="A21" s="4" t="n">
        <v>15</v>
      </c>
      <c r="B21" s="6">
        <f>IF(J20,B20,IF(SIGN(G20)=SIGN(E20),D20,B20))</f>
        <v/>
      </c>
      <c r="C21" s="6">
        <f>IF(J20,C20,IF(SIGN(G20)=SIGN(E20),C20,D20))</f>
        <v/>
      </c>
      <c r="D21" s="6">
        <f>IF(J20,D20,IFERROR(B21-E21*(C21-B21)/(F21-E21),D20))</f>
        <v/>
      </c>
      <c r="E21" s="6">
        <f>2*B21-LOG10(B21)-6</f>
        <v/>
      </c>
      <c r="F21" s="6">
        <f>2*C21-LOG10(C21)-6</f>
        <v/>
      </c>
      <c r="G21" s="6">
        <f>2*D21-LOG10(D21)-6</f>
        <v/>
      </c>
      <c r="H21" s="6">
        <f>ABS(D21-D20)</f>
        <v/>
      </c>
      <c r="I21" s="6">
        <f>IF(ISNUMBER(G21),ABS(G21),"")</f>
        <v/>
      </c>
      <c r="J21" s="4">
        <f>IF(OR(J20,AND(ISNUMBER(H21),H21&lt;$B$4,I21&lt;$B$4)),TRUE,FALSE)</f>
        <v/>
      </c>
      <c r="K21" s="4">
        <f>IF(AND(J21,NOT(J20)),"&lt;= KONVERGEN",IF(J21,"","lanjut"))</f>
        <v/>
      </c>
    </row>
    <row r="22">
      <c r="A22" s="4" t="n">
        <v>16</v>
      </c>
      <c r="B22" s="6">
        <f>IF(J21,B21,IF(SIGN(G21)=SIGN(E21),D21,B21))</f>
        <v/>
      </c>
      <c r="C22" s="6">
        <f>IF(J21,C21,IF(SIGN(G21)=SIGN(E21),C21,D21))</f>
        <v/>
      </c>
      <c r="D22" s="6">
        <f>IF(J21,D21,IFERROR(B22-E22*(C22-B22)/(F22-E22),D21))</f>
        <v/>
      </c>
      <c r="E22" s="6">
        <f>2*B22-LOG10(B22)-6</f>
        <v/>
      </c>
      <c r="F22" s="6">
        <f>2*C22-LOG10(C22)-6</f>
        <v/>
      </c>
      <c r="G22" s="6">
        <f>2*D22-LOG10(D22)-6</f>
        <v/>
      </c>
      <c r="H22" s="6">
        <f>ABS(D22-D21)</f>
        <v/>
      </c>
      <c r="I22" s="6">
        <f>IF(ISNUMBER(G22),ABS(G22),"")</f>
        <v/>
      </c>
      <c r="J22" s="4">
        <f>IF(OR(J21,AND(ISNUMBER(H22),H22&lt;$B$4,I22&lt;$B$4)),TRUE,FALSE)</f>
        <v/>
      </c>
      <c r="K22" s="4">
        <f>IF(AND(J22,NOT(J21)),"&lt;= KONVERGEN",IF(J22,"","lanjut"))</f>
        <v/>
      </c>
    </row>
    <row r="23">
      <c r="A23" s="4" t="n">
        <v>17</v>
      </c>
      <c r="B23" s="6">
        <f>IF(J22,B22,IF(SIGN(G22)=SIGN(E22),D22,B22))</f>
        <v/>
      </c>
      <c r="C23" s="6">
        <f>IF(J22,C22,IF(SIGN(G22)=SIGN(E22),C22,D22))</f>
        <v/>
      </c>
      <c r="D23" s="6">
        <f>IF(J22,D22,IFERROR(B23-E23*(C23-B23)/(F23-E23),D22))</f>
        <v/>
      </c>
      <c r="E23" s="6">
        <f>2*B23-LOG10(B23)-6</f>
        <v/>
      </c>
      <c r="F23" s="6">
        <f>2*C23-LOG10(C23)-6</f>
        <v/>
      </c>
      <c r="G23" s="6">
        <f>2*D23-LOG10(D23)-6</f>
        <v/>
      </c>
      <c r="H23" s="6">
        <f>ABS(D23-D22)</f>
        <v/>
      </c>
      <c r="I23" s="6">
        <f>IF(ISNUMBER(G23),ABS(G23),"")</f>
        <v/>
      </c>
      <c r="J23" s="4">
        <f>IF(OR(J22,AND(ISNUMBER(H23),H23&lt;$B$4,I23&lt;$B$4)),TRUE,FALSE)</f>
        <v/>
      </c>
      <c r="K23" s="4">
        <f>IF(AND(J23,NOT(J22)),"&lt;= KONVERGEN",IF(J23,"","lanjut"))</f>
        <v/>
      </c>
    </row>
    <row r="24">
      <c r="A24" s="4" t="n">
        <v>18</v>
      </c>
      <c r="B24" s="6">
        <f>IF(J23,B23,IF(SIGN(G23)=SIGN(E23),D23,B23))</f>
        <v/>
      </c>
      <c r="C24" s="6">
        <f>IF(J23,C23,IF(SIGN(G23)=SIGN(E23),C23,D23))</f>
        <v/>
      </c>
      <c r="D24" s="6">
        <f>IF(J23,D23,IFERROR(B24-E24*(C24-B24)/(F24-E24),D23))</f>
        <v/>
      </c>
      <c r="E24" s="6">
        <f>2*B24-LOG10(B24)-6</f>
        <v/>
      </c>
      <c r="F24" s="6">
        <f>2*C24-LOG10(C24)-6</f>
        <v/>
      </c>
      <c r="G24" s="6">
        <f>2*D24-LOG10(D24)-6</f>
        <v/>
      </c>
      <c r="H24" s="6">
        <f>ABS(D24-D23)</f>
        <v/>
      </c>
      <c r="I24" s="6">
        <f>IF(ISNUMBER(G24),ABS(G24),"")</f>
        <v/>
      </c>
      <c r="J24" s="4">
        <f>IF(OR(J23,AND(ISNUMBER(H24),H24&lt;$B$4,I24&lt;$B$4)),TRUE,FALSE)</f>
        <v/>
      </c>
      <c r="K24" s="4">
        <f>IF(AND(J24,NOT(J23)),"&lt;= KONVERGEN",IF(J24,"","lanjut"))</f>
        <v/>
      </c>
    </row>
    <row r="25">
      <c r="A25" s="4" t="n">
        <v>19</v>
      </c>
      <c r="B25" s="6">
        <f>IF(J24,B24,IF(SIGN(G24)=SIGN(E24),D24,B24))</f>
        <v/>
      </c>
      <c r="C25" s="6">
        <f>IF(J24,C24,IF(SIGN(G24)=SIGN(E24),C24,D24))</f>
        <v/>
      </c>
      <c r="D25" s="6">
        <f>IF(J24,D24,IFERROR(B25-E25*(C25-B25)/(F25-E25),D24))</f>
        <v/>
      </c>
      <c r="E25" s="6">
        <f>2*B25-LOG10(B25)-6</f>
        <v/>
      </c>
      <c r="F25" s="6">
        <f>2*C25-LOG10(C25)-6</f>
        <v/>
      </c>
      <c r="G25" s="6">
        <f>2*D25-LOG10(D25)-6</f>
        <v/>
      </c>
      <c r="H25" s="6">
        <f>ABS(D25-D24)</f>
        <v/>
      </c>
      <c r="I25" s="6">
        <f>IF(ISNUMBER(G25),ABS(G25),"")</f>
        <v/>
      </c>
      <c r="J25" s="4">
        <f>IF(OR(J24,AND(ISNUMBER(H25),H25&lt;$B$4,I25&lt;$B$4)),TRUE,FALSE)</f>
        <v/>
      </c>
      <c r="K25" s="4">
        <f>IF(AND(J25,NOT(J24)),"&lt;= KONVERGEN",IF(J25,"","lanjut"))</f>
        <v/>
      </c>
    </row>
    <row r="26">
      <c r="A26" s="4" t="n">
        <v>20</v>
      </c>
      <c r="B26" s="6">
        <f>IF(J25,B25,IF(SIGN(G25)=SIGN(E25),D25,B25))</f>
        <v/>
      </c>
      <c r="C26" s="6">
        <f>IF(J25,C25,IF(SIGN(G25)=SIGN(E25),C25,D25))</f>
        <v/>
      </c>
      <c r="D26" s="6">
        <f>IF(J25,D25,IFERROR(B26-E26*(C26-B26)/(F26-E26),D25))</f>
        <v/>
      </c>
      <c r="E26" s="6">
        <f>2*B26-LOG10(B26)-6</f>
        <v/>
      </c>
      <c r="F26" s="6">
        <f>2*C26-LOG10(C26)-6</f>
        <v/>
      </c>
      <c r="G26" s="6">
        <f>2*D26-LOG10(D26)-6</f>
        <v/>
      </c>
      <c r="H26" s="6">
        <f>ABS(D26-D25)</f>
        <v/>
      </c>
      <c r="I26" s="6">
        <f>IF(ISNUMBER(G26),ABS(G26),"")</f>
        <v/>
      </c>
      <c r="J26" s="4">
        <f>IF(OR(J25,AND(ISNUMBER(H26),H26&lt;$B$4,I26&lt;$B$4)),TRUE,FALSE)</f>
        <v/>
      </c>
      <c r="K26" s="4">
        <f>IF(AND(J26,NOT(J25)),"&lt;= KONVERGEN",IF(J26,"","lanjut"))</f>
        <v/>
      </c>
    </row>
    <row r="28">
      <c r="A28" s="9" t="inlineStr">
        <is>
          <t>Akar:</t>
        </is>
      </c>
      <c r="B28" s="11">
        <f>D26</f>
        <v/>
      </c>
      <c r="D28" s="7" t="inlineStr">
        <is>
          <t>f(akar):</t>
        </is>
      </c>
      <c r="E28" s="12">
        <f>G26</f>
        <v/>
      </c>
    </row>
    <row r="29">
      <c r="A29" t="inlineStr">
        <is>
          <t>Jumlah iterasi sampai konvergen:</t>
        </is>
      </c>
      <c r="D29" s="13">
        <f>IFERROR(MATCH(TRUE,J7:J26,0),"-")</f>
        <v/>
      </c>
    </row>
  </sheetData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5" customWidth="1" min="8" max="8"/>
    <col width="13" customWidth="1" min="9" max="9"/>
    <col width="9" customWidth="1" min="10" max="10"/>
    <col width="14" customWidth="1" min="11" max="11"/>
  </cols>
  <sheetData>
    <row r="1">
      <c r="A1" s="8" t="inlineStr">
        <is>
          <t>SOAL 8 - METODE REGULA FALSI</t>
        </is>
      </c>
    </row>
    <row r="2">
      <c r="A2" s="9" t="inlineStr">
        <is>
          <t>f(x) = x^6 - x^4 - x^3 - 1 = 0</t>
        </is>
      </c>
    </row>
    <row r="3">
      <c r="A3" s="7" t="inlineStr">
        <is>
          <t>Interval:</t>
        </is>
      </c>
      <c r="B3" t="inlineStr">
        <is>
          <t>a =</t>
        </is>
      </c>
      <c r="C3" s="10" t="n">
        <v>1</v>
      </c>
      <c r="D3" t="inlineStr">
        <is>
          <t>b =</t>
        </is>
      </c>
      <c r="E3" s="10" t="n">
        <v>1.5</v>
      </c>
    </row>
    <row r="4">
      <c r="A4" s="7" t="inlineStr">
        <is>
          <t>Toleransi:</t>
        </is>
      </c>
      <c r="B4" s="10" t="n">
        <v>0.001</v>
      </c>
      <c r="C4" t="inlineStr">
        <is>
          <t>berhenti bila |x(k) - x(k-1)| &lt; tol  dan  |f(x)| &lt; tol</t>
        </is>
      </c>
    </row>
    <row r="6">
      <c r="A6" s="3" t="inlineStr">
        <is>
          <t>Iterasi k</t>
        </is>
      </c>
      <c r="B6" s="3" t="inlineStr">
        <is>
          <t>a</t>
        </is>
      </c>
      <c r="C6" s="3" t="inlineStr">
        <is>
          <t>b</t>
        </is>
      </c>
      <c r="D6" s="3" t="inlineStr">
        <is>
          <t>x(k)</t>
        </is>
      </c>
      <c r="E6" s="3" t="inlineStr">
        <is>
          <t>f(a)</t>
        </is>
      </c>
      <c r="F6" s="3" t="inlineStr">
        <is>
          <t>f(b)</t>
        </is>
      </c>
      <c r="G6" s="3" t="inlineStr">
        <is>
          <t>f(x(k))</t>
        </is>
      </c>
      <c r="H6" s="3" t="inlineStr">
        <is>
          <t>|x(k)-x(k-1)|</t>
        </is>
      </c>
      <c r="I6" s="3" t="inlineStr">
        <is>
          <t>|f(x(k))|</t>
        </is>
      </c>
      <c r="J6" s="3" t="inlineStr">
        <is>
          <t>selesai?</t>
        </is>
      </c>
      <c r="K6" s="3" t="inlineStr">
        <is>
          <t>Status</t>
        </is>
      </c>
    </row>
    <row r="7">
      <c r="A7" s="4" t="n">
        <v>1</v>
      </c>
      <c r="B7" s="6">
        <f>C3</f>
        <v/>
      </c>
      <c r="C7" s="6">
        <f>E3</f>
        <v/>
      </c>
      <c r="D7" s="6">
        <f>IFERROR(B7-E7*(C7-B7)/(F7-E7),"")</f>
        <v/>
      </c>
      <c r="E7" s="6">
        <f>B7^6-B7^4-B7^3-1</f>
        <v/>
      </c>
      <c r="F7" s="6">
        <f>C7^6-C7^4-C7^3-1</f>
        <v/>
      </c>
      <c r="G7" s="6">
        <f>D7^6-D7^4-D7^3-1</f>
        <v/>
      </c>
      <c r="H7" s="6" t="n"/>
      <c r="I7" s="6">
        <f>IF(ISNUMBER(G7),ABS(G7),"")</f>
        <v/>
      </c>
      <c r="J7" s="4">
        <f>IF(AND(ISNUMBER(H7),H7&lt;$B$4,I7&lt;$B$4),TRUE,FALSE)</f>
        <v/>
      </c>
      <c r="K7" s="4">
        <f>IF(J7,"&lt;= KONVERGEN","lanjut")</f>
        <v/>
      </c>
    </row>
    <row r="8">
      <c r="A8" s="4" t="n">
        <v>2</v>
      </c>
      <c r="B8" s="6">
        <f>IF(J7,B7,IF(SIGN(G7)=SIGN(E7),D7,B7))</f>
        <v/>
      </c>
      <c r="C8" s="6">
        <f>IF(J7,C7,IF(SIGN(G7)=SIGN(E7),C7,D7))</f>
        <v/>
      </c>
      <c r="D8" s="6">
        <f>IF(J7,D7,IFERROR(B8-E8*(C8-B8)/(F8-E8),D7))</f>
        <v/>
      </c>
      <c r="E8" s="6">
        <f>B8^6-B8^4-B8^3-1</f>
        <v/>
      </c>
      <c r="F8" s="6">
        <f>C8^6-C8^4-C8^3-1</f>
        <v/>
      </c>
      <c r="G8" s="6">
        <f>D8^6-D8^4-D8^3-1</f>
        <v/>
      </c>
      <c r="H8" s="6">
        <f>ABS(D8-D7)</f>
        <v/>
      </c>
      <c r="I8" s="6">
        <f>IF(ISNUMBER(G8),ABS(G8),"")</f>
        <v/>
      </c>
      <c r="J8" s="4">
        <f>IF(OR(J7,AND(ISNUMBER(H8),H8&lt;$B$4,I8&lt;$B$4)),TRUE,FALSE)</f>
        <v/>
      </c>
      <c r="K8" s="4">
        <f>IF(AND(J8,NOT(J7)),"&lt;= KONVERGEN",IF(J8,"","lanjut"))</f>
        <v/>
      </c>
    </row>
    <row r="9">
      <c r="A9" s="4" t="n">
        <v>3</v>
      </c>
      <c r="B9" s="6">
        <f>IF(J8,B8,IF(SIGN(G8)=SIGN(E8),D8,B8))</f>
        <v/>
      </c>
      <c r="C9" s="6">
        <f>IF(J8,C8,IF(SIGN(G8)=SIGN(E8),C8,D8))</f>
        <v/>
      </c>
      <c r="D9" s="6">
        <f>IF(J8,D8,IFERROR(B9-E9*(C9-B9)/(F9-E9),D8))</f>
        <v/>
      </c>
      <c r="E9" s="6">
        <f>B9^6-B9^4-B9^3-1</f>
        <v/>
      </c>
      <c r="F9" s="6">
        <f>C9^6-C9^4-C9^3-1</f>
        <v/>
      </c>
      <c r="G9" s="6">
        <f>D9^6-D9^4-D9^3-1</f>
        <v/>
      </c>
      <c r="H9" s="6">
        <f>ABS(D9-D8)</f>
        <v/>
      </c>
      <c r="I9" s="6">
        <f>IF(ISNUMBER(G9),ABS(G9),"")</f>
        <v/>
      </c>
      <c r="J9" s="4">
        <f>IF(OR(J8,AND(ISNUMBER(H9),H9&lt;$B$4,I9&lt;$B$4)),TRUE,FALSE)</f>
        <v/>
      </c>
      <c r="K9" s="4">
        <f>IF(AND(J9,NOT(J8)),"&lt;= KONVERGEN",IF(J9,"","lanjut"))</f>
        <v/>
      </c>
    </row>
    <row r="10">
      <c r="A10" s="4" t="n">
        <v>4</v>
      </c>
      <c r="B10" s="6">
        <f>IF(J9,B9,IF(SIGN(G9)=SIGN(E9),D9,B9))</f>
        <v/>
      </c>
      <c r="C10" s="6">
        <f>IF(J9,C9,IF(SIGN(G9)=SIGN(E9),C9,D9))</f>
        <v/>
      </c>
      <c r="D10" s="6">
        <f>IF(J9,D9,IFERROR(B10-E10*(C10-B10)/(F10-E10),D9))</f>
        <v/>
      </c>
      <c r="E10" s="6">
        <f>B10^6-B10^4-B10^3-1</f>
        <v/>
      </c>
      <c r="F10" s="6">
        <f>C10^6-C10^4-C10^3-1</f>
        <v/>
      </c>
      <c r="G10" s="6">
        <f>D10^6-D10^4-D10^3-1</f>
        <v/>
      </c>
      <c r="H10" s="6">
        <f>ABS(D10-D9)</f>
        <v/>
      </c>
      <c r="I10" s="6">
        <f>IF(ISNUMBER(G10),ABS(G10),"")</f>
        <v/>
      </c>
      <c r="J10" s="4">
        <f>IF(OR(J9,AND(ISNUMBER(H10),H10&lt;$B$4,I10&lt;$B$4)),TRUE,FALSE)</f>
        <v/>
      </c>
      <c r="K10" s="4">
        <f>IF(AND(J10,NOT(J9)),"&lt;= KONVERGEN",IF(J10,"","lanjut"))</f>
        <v/>
      </c>
    </row>
    <row r="11">
      <c r="A11" s="4" t="n">
        <v>5</v>
      </c>
      <c r="B11" s="6">
        <f>IF(J10,B10,IF(SIGN(G10)=SIGN(E10),D10,B10))</f>
        <v/>
      </c>
      <c r="C11" s="6">
        <f>IF(J10,C10,IF(SIGN(G10)=SIGN(E10),C10,D10))</f>
        <v/>
      </c>
      <c r="D11" s="6">
        <f>IF(J10,D10,IFERROR(B11-E11*(C11-B11)/(F11-E11),D10))</f>
        <v/>
      </c>
      <c r="E11" s="6">
        <f>B11^6-B11^4-B11^3-1</f>
        <v/>
      </c>
      <c r="F11" s="6">
        <f>C11^6-C11^4-C11^3-1</f>
        <v/>
      </c>
      <c r="G11" s="6">
        <f>D11^6-D11^4-D11^3-1</f>
        <v/>
      </c>
      <c r="H11" s="6">
        <f>ABS(D11-D10)</f>
        <v/>
      </c>
      <c r="I11" s="6">
        <f>IF(ISNUMBER(G11),ABS(G11),"")</f>
        <v/>
      </c>
      <c r="J11" s="4">
        <f>IF(OR(J10,AND(ISNUMBER(H11),H11&lt;$B$4,I11&lt;$B$4)),TRUE,FALSE)</f>
        <v/>
      </c>
      <c r="K11" s="4">
        <f>IF(AND(J11,NOT(J10)),"&lt;= KONVERGEN",IF(J11,"","lanjut"))</f>
        <v/>
      </c>
    </row>
    <row r="12">
      <c r="A12" s="4" t="n">
        <v>6</v>
      </c>
      <c r="B12" s="6">
        <f>IF(J11,B11,IF(SIGN(G11)=SIGN(E11),D11,B11))</f>
        <v/>
      </c>
      <c r="C12" s="6">
        <f>IF(J11,C11,IF(SIGN(G11)=SIGN(E11),C11,D11))</f>
        <v/>
      </c>
      <c r="D12" s="6">
        <f>IF(J11,D11,IFERROR(B12-E12*(C12-B12)/(F12-E12),D11))</f>
        <v/>
      </c>
      <c r="E12" s="6">
        <f>B12^6-B12^4-B12^3-1</f>
        <v/>
      </c>
      <c r="F12" s="6">
        <f>C12^6-C12^4-C12^3-1</f>
        <v/>
      </c>
      <c r="G12" s="6">
        <f>D12^6-D12^4-D12^3-1</f>
        <v/>
      </c>
      <c r="H12" s="6">
        <f>ABS(D12-D11)</f>
        <v/>
      </c>
      <c r="I12" s="6">
        <f>IF(ISNUMBER(G12),ABS(G12),"")</f>
        <v/>
      </c>
      <c r="J12" s="4">
        <f>IF(OR(J11,AND(ISNUMBER(H12),H12&lt;$B$4,I12&lt;$B$4)),TRUE,FALSE)</f>
        <v/>
      </c>
      <c r="K12" s="4">
        <f>IF(AND(J12,NOT(J11)),"&lt;= KONVERGEN",IF(J12,"","lanjut"))</f>
        <v/>
      </c>
    </row>
    <row r="13">
      <c r="A13" s="4" t="n">
        <v>7</v>
      </c>
      <c r="B13" s="6">
        <f>IF(J12,B12,IF(SIGN(G12)=SIGN(E12),D12,B12))</f>
        <v/>
      </c>
      <c r="C13" s="6">
        <f>IF(J12,C12,IF(SIGN(G12)=SIGN(E12),C12,D12))</f>
        <v/>
      </c>
      <c r="D13" s="6">
        <f>IF(J12,D12,IFERROR(B13-E13*(C13-B13)/(F13-E13),D12))</f>
        <v/>
      </c>
      <c r="E13" s="6">
        <f>B13^6-B13^4-B13^3-1</f>
        <v/>
      </c>
      <c r="F13" s="6">
        <f>C13^6-C13^4-C13^3-1</f>
        <v/>
      </c>
      <c r="G13" s="6">
        <f>D13^6-D13^4-D13^3-1</f>
        <v/>
      </c>
      <c r="H13" s="6">
        <f>ABS(D13-D12)</f>
        <v/>
      </c>
      <c r="I13" s="6">
        <f>IF(ISNUMBER(G13),ABS(G13),"")</f>
        <v/>
      </c>
      <c r="J13" s="4">
        <f>IF(OR(J12,AND(ISNUMBER(H13),H13&lt;$B$4,I13&lt;$B$4)),TRUE,FALSE)</f>
        <v/>
      </c>
      <c r="K13" s="4">
        <f>IF(AND(J13,NOT(J12)),"&lt;= KONVERGEN",IF(J13,"","lanjut"))</f>
        <v/>
      </c>
    </row>
    <row r="14">
      <c r="A14" s="4" t="n">
        <v>8</v>
      </c>
      <c r="B14" s="6">
        <f>IF(J13,B13,IF(SIGN(G13)=SIGN(E13),D13,B13))</f>
        <v/>
      </c>
      <c r="C14" s="6">
        <f>IF(J13,C13,IF(SIGN(G13)=SIGN(E13),C13,D13))</f>
        <v/>
      </c>
      <c r="D14" s="6">
        <f>IF(J13,D13,IFERROR(B14-E14*(C14-B14)/(F14-E14),D13))</f>
        <v/>
      </c>
      <c r="E14" s="6">
        <f>B14^6-B14^4-B14^3-1</f>
        <v/>
      </c>
      <c r="F14" s="6">
        <f>C14^6-C14^4-C14^3-1</f>
        <v/>
      </c>
      <c r="G14" s="6">
        <f>D14^6-D14^4-D14^3-1</f>
        <v/>
      </c>
      <c r="H14" s="6">
        <f>ABS(D14-D13)</f>
        <v/>
      </c>
      <c r="I14" s="6">
        <f>IF(ISNUMBER(G14),ABS(G14),"")</f>
        <v/>
      </c>
      <c r="J14" s="4">
        <f>IF(OR(J13,AND(ISNUMBER(H14),H14&lt;$B$4,I14&lt;$B$4)),TRUE,FALSE)</f>
        <v/>
      </c>
      <c r="K14" s="4">
        <f>IF(AND(J14,NOT(J13)),"&lt;= KONVERGEN",IF(J14,"","lanjut"))</f>
        <v/>
      </c>
    </row>
    <row r="15">
      <c r="A15" s="4" t="n">
        <v>9</v>
      </c>
      <c r="B15" s="6">
        <f>IF(J14,B14,IF(SIGN(G14)=SIGN(E14),D14,B14))</f>
        <v/>
      </c>
      <c r="C15" s="6">
        <f>IF(J14,C14,IF(SIGN(G14)=SIGN(E14),C14,D14))</f>
        <v/>
      </c>
      <c r="D15" s="6">
        <f>IF(J14,D14,IFERROR(B15-E15*(C15-B15)/(F15-E15),D14))</f>
        <v/>
      </c>
      <c r="E15" s="6">
        <f>B15^6-B15^4-B15^3-1</f>
        <v/>
      </c>
      <c r="F15" s="6">
        <f>C15^6-C15^4-C15^3-1</f>
        <v/>
      </c>
      <c r="G15" s="6">
        <f>D15^6-D15^4-D15^3-1</f>
        <v/>
      </c>
      <c r="H15" s="6">
        <f>ABS(D15-D14)</f>
        <v/>
      </c>
      <c r="I15" s="6">
        <f>IF(ISNUMBER(G15),ABS(G15),"")</f>
        <v/>
      </c>
      <c r="J15" s="4">
        <f>IF(OR(J14,AND(ISNUMBER(H15),H15&lt;$B$4,I15&lt;$B$4)),TRUE,FALSE)</f>
        <v/>
      </c>
      <c r="K15" s="4">
        <f>IF(AND(J15,NOT(J14)),"&lt;= KONVERGEN",IF(J15,"","lanjut"))</f>
        <v/>
      </c>
    </row>
    <row r="16">
      <c r="A16" s="4" t="n">
        <v>10</v>
      </c>
      <c r="B16" s="6">
        <f>IF(J15,B15,IF(SIGN(G15)=SIGN(E15),D15,B15))</f>
        <v/>
      </c>
      <c r="C16" s="6">
        <f>IF(J15,C15,IF(SIGN(G15)=SIGN(E15),C15,D15))</f>
        <v/>
      </c>
      <c r="D16" s="6">
        <f>IF(J15,D15,IFERROR(B16-E16*(C16-B16)/(F16-E16),D15))</f>
        <v/>
      </c>
      <c r="E16" s="6">
        <f>B16^6-B16^4-B16^3-1</f>
        <v/>
      </c>
      <c r="F16" s="6">
        <f>C16^6-C16^4-C16^3-1</f>
        <v/>
      </c>
      <c r="G16" s="6">
        <f>D16^6-D16^4-D16^3-1</f>
        <v/>
      </c>
      <c r="H16" s="6">
        <f>ABS(D16-D15)</f>
        <v/>
      </c>
      <c r="I16" s="6">
        <f>IF(ISNUMBER(G16),ABS(G16),"")</f>
        <v/>
      </c>
      <c r="J16" s="4">
        <f>IF(OR(J15,AND(ISNUMBER(H16),H16&lt;$B$4,I16&lt;$B$4)),TRUE,FALSE)</f>
        <v/>
      </c>
      <c r="K16" s="4">
        <f>IF(AND(J16,NOT(J15)),"&lt;= KONVERGEN",IF(J16,"","lanjut"))</f>
        <v/>
      </c>
    </row>
    <row r="17">
      <c r="A17" s="4" t="n">
        <v>11</v>
      </c>
      <c r="B17" s="6">
        <f>IF(J16,B16,IF(SIGN(G16)=SIGN(E16),D16,B16))</f>
        <v/>
      </c>
      <c r="C17" s="6">
        <f>IF(J16,C16,IF(SIGN(G16)=SIGN(E16),C16,D16))</f>
        <v/>
      </c>
      <c r="D17" s="6">
        <f>IF(J16,D16,IFERROR(B17-E17*(C17-B17)/(F17-E17),D16))</f>
        <v/>
      </c>
      <c r="E17" s="6">
        <f>B17^6-B17^4-B17^3-1</f>
        <v/>
      </c>
      <c r="F17" s="6">
        <f>C17^6-C17^4-C17^3-1</f>
        <v/>
      </c>
      <c r="G17" s="6">
        <f>D17^6-D17^4-D17^3-1</f>
        <v/>
      </c>
      <c r="H17" s="6">
        <f>ABS(D17-D16)</f>
        <v/>
      </c>
      <c r="I17" s="6">
        <f>IF(ISNUMBER(G17),ABS(G17),"")</f>
        <v/>
      </c>
      <c r="J17" s="4">
        <f>IF(OR(J16,AND(ISNUMBER(H17),H17&lt;$B$4,I17&lt;$B$4)),TRUE,FALSE)</f>
        <v/>
      </c>
      <c r="K17" s="4">
        <f>IF(AND(J17,NOT(J16)),"&lt;= KONVERGEN",IF(J17,"","lanjut"))</f>
        <v/>
      </c>
    </row>
    <row r="18">
      <c r="A18" s="4" t="n">
        <v>12</v>
      </c>
      <c r="B18" s="6">
        <f>IF(J17,B17,IF(SIGN(G17)=SIGN(E17),D17,B17))</f>
        <v/>
      </c>
      <c r="C18" s="6">
        <f>IF(J17,C17,IF(SIGN(G17)=SIGN(E17),C17,D17))</f>
        <v/>
      </c>
      <c r="D18" s="6">
        <f>IF(J17,D17,IFERROR(B18-E18*(C18-B18)/(F18-E18),D17))</f>
        <v/>
      </c>
      <c r="E18" s="6">
        <f>B18^6-B18^4-B18^3-1</f>
        <v/>
      </c>
      <c r="F18" s="6">
        <f>C18^6-C18^4-C18^3-1</f>
        <v/>
      </c>
      <c r="G18" s="6">
        <f>D18^6-D18^4-D18^3-1</f>
        <v/>
      </c>
      <c r="H18" s="6">
        <f>ABS(D18-D17)</f>
        <v/>
      </c>
      <c r="I18" s="6">
        <f>IF(ISNUMBER(G18),ABS(G18),"")</f>
        <v/>
      </c>
      <c r="J18" s="4">
        <f>IF(OR(J17,AND(ISNUMBER(H18),H18&lt;$B$4,I18&lt;$B$4)),TRUE,FALSE)</f>
        <v/>
      </c>
      <c r="K18" s="4">
        <f>IF(AND(J18,NOT(J17)),"&lt;= KONVERGEN",IF(J18,"","lanjut"))</f>
        <v/>
      </c>
    </row>
    <row r="19">
      <c r="A19" s="4" t="n">
        <v>13</v>
      </c>
      <c r="B19" s="6">
        <f>IF(J18,B18,IF(SIGN(G18)=SIGN(E18),D18,B18))</f>
        <v/>
      </c>
      <c r="C19" s="6">
        <f>IF(J18,C18,IF(SIGN(G18)=SIGN(E18),C18,D18))</f>
        <v/>
      </c>
      <c r="D19" s="6">
        <f>IF(J18,D18,IFERROR(B19-E19*(C19-B19)/(F19-E19),D18))</f>
        <v/>
      </c>
      <c r="E19" s="6">
        <f>B19^6-B19^4-B19^3-1</f>
        <v/>
      </c>
      <c r="F19" s="6">
        <f>C19^6-C19^4-C19^3-1</f>
        <v/>
      </c>
      <c r="G19" s="6">
        <f>D19^6-D19^4-D19^3-1</f>
        <v/>
      </c>
      <c r="H19" s="6">
        <f>ABS(D19-D18)</f>
        <v/>
      </c>
      <c r="I19" s="6">
        <f>IF(ISNUMBER(G19),ABS(G19),"")</f>
        <v/>
      </c>
      <c r="J19" s="4">
        <f>IF(OR(J18,AND(ISNUMBER(H19),H19&lt;$B$4,I19&lt;$B$4)),TRUE,FALSE)</f>
        <v/>
      </c>
      <c r="K19" s="4">
        <f>IF(AND(J19,NOT(J18)),"&lt;= KONVERGEN",IF(J19,"","lanjut"))</f>
        <v/>
      </c>
    </row>
    <row r="20">
      <c r="A20" s="4" t="n">
        <v>14</v>
      </c>
      <c r="B20" s="6">
        <f>IF(J19,B19,IF(SIGN(G19)=SIGN(E19),D19,B19))</f>
        <v/>
      </c>
      <c r="C20" s="6">
        <f>IF(J19,C19,IF(SIGN(G19)=SIGN(E19),C19,D19))</f>
        <v/>
      </c>
      <c r="D20" s="6">
        <f>IF(J19,D19,IFERROR(B20-E20*(C20-B20)/(F20-E20),D19))</f>
        <v/>
      </c>
      <c r="E20" s="6">
        <f>B20^6-B20^4-B20^3-1</f>
        <v/>
      </c>
      <c r="F20" s="6">
        <f>C20^6-C20^4-C20^3-1</f>
        <v/>
      </c>
      <c r="G20" s="6">
        <f>D20^6-D20^4-D20^3-1</f>
        <v/>
      </c>
      <c r="H20" s="6">
        <f>ABS(D20-D19)</f>
        <v/>
      </c>
      <c r="I20" s="6">
        <f>IF(ISNUMBER(G20),ABS(G20),"")</f>
        <v/>
      </c>
      <c r="J20" s="4">
        <f>IF(OR(J19,AND(ISNUMBER(H20),H20&lt;$B$4,I20&lt;$B$4)),TRUE,FALSE)</f>
        <v/>
      </c>
      <c r="K20" s="4">
        <f>IF(AND(J20,NOT(J19)),"&lt;= KONVERGEN",IF(J20,"","lanjut"))</f>
        <v/>
      </c>
    </row>
    <row r="21">
      <c r="A21" s="4" t="n">
        <v>15</v>
      </c>
      <c r="B21" s="6">
        <f>IF(J20,B20,IF(SIGN(G20)=SIGN(E20),D20,B20))</f>
        <v/>
      </c>
      <c r="C21" s="6">
        <f>IF(J20,C20,IF(SIGN(G20)=SIGN(E20),C20,D20))</f>
        <v/>
      </c>
      <c r="D21" s="6">
        <f>IF(J20,D20,IFERROR(B21-E21*(C21-B21)/(F21-E21),D20))</f>
        <v/>
      </c>
      <c r="E21" s="6">
        <f>B21^6-B21^4-B21^3-1</f>
        <v/>
      </c>
      <c r="F21" s="6">
        <f>C21^6-C21^4-C21^3-1</f>
        <v/>
      </c>
      <c r="G21" s="6">
        <f>D21^6-D21^4-D21^3-1</f>
        <v/>
      </c>
      <c r="H21" s="6">
        <f>ABS(D21-D20)</f>
        <v/>
      </c>
      <c r="I21" s="6">
        <f>IF(ISNUMBER(G21),ABS(G21),"")</f>
        <v/>
      </c>
      <c r="J21" s="4">
        <f>IF(OR(J20,AND(ISNUMBER(H21),H21&lt;$B$4,I21&lt;$B$4)),TRUE,FALSE)</f>
        <v/>
      </c>
      <c r="K21" s="4">
        <f>IF(AND(J21,NOT(J20)),"&lt;= KONVERGEN",IF(J21,"","lanjut"))</f>
        <v/>
      </c>
    </row>
    <row r="22">
      <c r="A22" s="4" t="n">
        <v>16</v>
      </c>
      <c r="B22" s="6">
        <f>IF(J21,B21,IF(SIGN(G21)=SIGN(E21),D21,B21))</f>
        <v/>
      </c>
      <c r="C22" s="6">
        <f>IF(J21,C21,IF(SIGN(G21)=SIGN(E21),C21,D21))</f>
        <v/>
      </c>
      <c r="D22" s="6">
        <f>IF(J21,D21,IFERROR(B22-E22*(C22-B22)/(F22-E22),D21))</f>
        <v/>
      </c>
      <c r="E22" s="6">
        <f>B22^6-B22^4-B22^3-1</f>
        <v/>
      </c>
      <c r="F22" s="6">
        <f>C22^6-C22^4-C22^3-1</f>
        <v/>
      </c>
      <c r="G22" s="6">
        <f>D22^6-D22^4-D22^3-1</f>
        <v/>
      </c>
      <c r="H22" s="6">
        <f>ABS(D22-D21)</f>
        <v/>
      </c>
      <c r="I22" s="6">
        <f>IF(ISNUMBER(G22),ABS(G22),"")</f>
        <v/>
      </c>
      <c r="J22" s="4">
        <f>IF(OR(J21,AND(ISNUMBER(H22),H22&lt;$B$4,I22&lt;$B$4)),TRUE,FALSE)</f>
        <v/>
      </c>
      <c r="K22" s="4">
        <f>IF(AND(J22,NOT(J21)),"&lt;= KONVERGEN",IF(J22,"","lanjut"))</f>
        <v/>
      </c>
    </row>
    <row r="23">
      <c r="A23" s="4" t="n">
        <v>17</v>
      </c>
      <c r="B23" s="6">
        <f>IF(J22,B22,IF(SIGN(G22)=SIGN(E22),D22,B22))</f>
        <v/>
      </c>
      <c r="C23" s="6">
        <f>IF(J22,C22,IF(SIGN(G22)=SIGN(E22),C22,D22))</f>
        <v/>
      </c>
      <c r="D23" s="6">
        <f>IF(J22,D22,IFERROR(B23-E23*(C23-B23)/(F23-E23),D22))</f>
        <v/>
      </c>
      <c r="E23" s="6">
        <f>B23^6-B23^4-B23^3-1</f>
        <v/>
      </c>
      <c r="F23" s="6">
        <f>C23^6-C23^4-C23^3-1</f>
        <v/>
      </c>
      <c r="G23" s="6">
        <f>D23^6-D23^4-D23^3-1</f>
        <v/>
      </c>
      <c r="H23" s="6">
        <f>ABS(D23-D22)</f>
        <v/>
      </c>
      <c r="I23" s="6">
        <f>IF(ISNUMBER(G23),ABS(G23),"")</f>
        <v/>
      </c>
      <c r="J23" s="4">
        <f>IF(OR(J22,AND(ISNUMBER(H23),H23&lt;$B$4,I23&lt;$B$4)),TRUE,FALSE)</f>
        <v/>
      </c>
      <c r="K23" s="4">
        <f>IF(AND(J23,NOT(J22)),"&lt;= KONVERGEN",IF(J23,"","lanjut"))</f>
        <v/>
      </c>
    </row>
    <row r="24">
      <c r="A24" s="4" t="n">
        <v>18</v>
      </c>
      <c r="B24" s="6">
        <f>IF(J23,B23,IF(SIGN(G23)=SIGN(E23),D23,B23))</f>
        <v/>
      </c>
      <c r="C24" s="6">
        <f>IF(J23,C23,IF(SIGN(G23)=SIGN(E23),C23,D23))</f>
        <v/>
      </c>
      <c r="D24" s="6">
        <f>IF(J23,D23,IFERROR(B24-E24*(C24-B24)/(F24-E24),D23))</f>
        <v/>
      </c>
      <c r="E24" s="6">
        <f>B24^6-B24^4-B24^3-1</f>
        <v/>
      </c>
      <c r="F24" s="6">
        <f>C24^6-C24^4-C24^3-1</f>
        <v/>
      </c>
      <c r="G24" s="6">
        <f>D24^6-D24^4-D24^3-1</f>
        <v/>
      </c>
      <c r="H24" s="6">
        <f>ABS(D24-D23)</f>
        <v/>
      </c>
      <c r="I24" s="6">
        <f>IF(ISNUMBER(G24),ABS(G24),"")</f>
        <v/>
      </c>
      <c r="J24" s="4">
        <f>IF(OR(J23,AND(ISNUMBER(H24),H24&lt;$B$4,I24&lt;$B$4)),TRUE,FALSE)</f>
        <v/>
      </c>
      <c r="K24" s="4">
        <f>IF(AND(J24,NOT(J23)),"&lt;= KONVERGEN",IF(J24,"","lanjut"))</f>
        <v/>
      </c>
    </row>
    <row r="25">
      <c r="A25" s="4" t="n">
        <v>19</v>
      </c>
      <c r="B25" s="6">
        <f>IF(J24,B24,IF(SIGN(G24)=SIGN(E24),D24,B24))</f>
        <v/>
      </c>
      <c r="C25" s="6">
        <f>IF(J24,C24,IF(SIGN(G24)=SIGN(E24),C24,D24))</f>
        <v/>
      </c>
      <c r="D25" s="6">
        <f>IF(J24,D24,IFERROR(B25-E25*(C25-B25)/(F25-E25),D24))</f>
        <v/>
      </c>
      <c r="E25" s="6">
        <f>B25^6-B25^4-B25^3-1</f>
        <v/>
      </c>
      <c r="F25" s="6">
        <f>C25^6-C25^4-C25^3-1</f>
        <v/>
      </c>
      <c r="G25" s="6">
        <f>D25^6-D25^4-D25^3-1</f>
        <v/>
      </c>
      <c r="H25" s="6">
        <f>ABS(D25-D24)</f>
        <v/>
      </c>
      <c r="I25" s="6">
        <f>IF(ISNUMBER(G25),ABS(G25),"")</f>
        <v/>
      </c>
      <c r="J25" s="4">
        <f>IF(OR(J24,AND(ISNUMBER(H25),H25&lt;$B$4,I25&lt;$B$4)),TRUE,FALSE)</f>
        <v/>
      </c>
      <c r="K25" s="4">
        <f>IF(AND(J25,NOT(J24)),"&lt;= KONVERGEN",IF(J25,"","lanjut"))</f>
        <v/>
      </c>
    </row>
    <row r="26">
      <c r="A26" s="4" t="n">
        <v>20</v>
      </c>
      <c r="B26" s="6">
        <f>IF(J25,B25,IF(SIGN(G25)=SIGN(E25),D25,B25))</f>
        <v/>
      </c>
      <c r="C26" s="6">
        <f>IF(J25,C25,IF(SIGN(G25)=SIGN(E25),C25,D25))</f>
        <v/>
      </c>
      <c r="D26" s="6">
        <f>IF(J25,D25,IFERROR(B26-E26*(C26-B26)/(F26-E26),D25))</f>
        <v/>
      </c>
      <c r="E26" s="6">
        <f>B26^6-B26^4-B26^3-1</f>
        <v/>
      </c>
      <c r="F26" s="6">
        <f>C26^6-C26^4-C26^3-1</f>
        <v/>
      </c>
      <c r="G26" s="6">
        <f>D26^6-D26^4-D26^3-1</f>
        <v/>
      </c>
      <c r="H26" s="6">
        <f>ABS(D26-D25)</f>
        <v/>
      </c>
      <c r="I26" s="6">
        <f>IF(ISNUMBER(G26),ABS(G26),"")</f>
        <v/>
      </c>
      <c r="J26" s="4">
        <f>IF(OR(J25,AND(ISNUMBER(H26),H26&lt;$B$4,I26&lt;$B$4)),TRUE,FALSE)</f>
        <v/>
      </c>
      <c r="K26" s="4">
        <f>IF(AND(J26,NOT(J25)),"&lt;= KONVERGEN",IF(J26,"","lanjut"))</f>
        <v/>
      </c>
    </row>
    <row r="28">
      <c r="A28" s="9" t="inlineStr">
        <is>
          <t>Akar:</t>
        </is>
      </c>
      <c r="B28" s="11">
        <f>D26</f>
        <v/>
      </c>
      <c r="D28" s="7" t="inlineStr">
        <is>
          <t>f(akar):</t>
        </is>
      </c>
      <c r="E28" s="12">
        <f>G26</f>
        <v/>
      </c>
    </row>
    <row r="29">
      <c r="A29" t="inlineStr">
        <is>
          <t>Jumlah iterasi sampai konvergen:</t>
        </is>
      </c>
      <c r="D29" s="13">
        <f>IFERROR(MATCH(TRUE,J7:J26,0),"-")</f>
        <v/>
      </c>
    </row>
  </sheetData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5" customWidth="1" min="8" max="8"/>
    <col width="13" customWidth="1" min="9" max="9"/>
    <col width="9" customWidth="1" min="10" max="10"/>
    <col width="14" customWidth="1" min="11" max="11"/>
  </cols>
  <sheetData>
    <row r="1">
      <c r="A1" s="8" t="inlineStr">
        <is>
          <t>SOAL 9 - METODE REGULA FALSI</t>
        </is>
      </c>
    </row>
    <row r="2">
      <c r="A2" s="9" t="inlineStr">
        <is>
          <t>f(x) = x - e^(-x) = 0</t>
        </is>
      </c>
    </row>
    <row r="3">
      <c r="A3" s="7" t="inlineStr">
        <is>
          <t>Interval:</t>
        </is>
      </c>
      <c r="B3" t="inlineStr">
        <is>
          <t>a =</t>
        </is>
      </c>
      <c r="C3" s="10" t="n">
        <v>0</v>
      </c>
      <c r="D3" t="inlineStr">
        <is>
          <t>b =</t>
        </is>
      </c>
      <c r="E3" s="10" t="n">
        <v>1</v>
      </c>
    </row>
    <row r="4">
      <c r="A4" s="7" t="inlineStr">
        <is>
          <t>Toleransi:</t>
        </is>
      </c>
      <c r="B4" s="10" t="n">
        <v>0.001</v>
      </c>
      <c r="C4" t="inlineStr">
        <is>
          <t>berhenti bila |x(k) - x(k-1)| &lt; tol  dan  |f(x)| &lt; tol</t>
        </is>
      </c>
    </row>
    <row r="6">
      <c r="A6" s="3" t="inlineStr">
        <is>
          <t>Iterasi k</t>
        </is>
      </c>
      <c r="B6" s="3" t="inlineStr">
        <is>
          <t>a</t>
        </is>
      </c>
      <c r="C6" s="3" t="inlineStr">
        <is>
          <t>b</t>
        </is>
      </c>
      <c r="D6" s="3" t="inlineStr">
        <is>
          <t>x(k)</t>
        </is>
      </c>
      <c r="E6" s="3" t="inlineStr">
        <is>
          <t>f(a)</t>
        </is>
      </c>
      <c r="F6" s="3" t="inlineStr">
        <is>
          <t>f(b)</t>
        </is>
      </c>
      <c r="G6" s="3" t="inlineStr">
        <is>
          <t>f(x(k))</t>
        </is>
      </c>
      <c r="H6" s="3" t="inlineStr">
        <is>
          <t>|x(k)-x(k-1)|</t>
        </is>
      </c>
      <c r="I6" s="3" t="inlineStr">
        <is>
          <t>|f(x(k))|</t>
        </is>
      </c>
      <c r="J6" s="3" t="inlineStr">
        <is>
          <t>selesai?</t>
        </is>
      </c>
      <c r="K6" s="3" t="inlineStr">
        <is>
          <t>Status</t>
        </is>
      </c>
    </row>
    <row r="7">
      <c r="A7" s="4" t="n">
        <v>1</v>
      </c>
      <c r="B7" s="6">
        <f>C3</f>
        <v/>
      </c>
      <c r="C7" s="6">
        <f>E3</f>
        <v/>
      </c>
      <c r="D7" s="6">
        <f>IFERROR(B7-E7*(C7-B7)/(F7-E7),"")</f>
        <v/>
      </c>
      <c r="E7" s="6">
        <f>B7-EXP(-B7)</f>
        <v/>
      </c>
      <c r="F7" s="6">
        <f>C7-EXP(-C7)</f>
        <v/>
      </c>
      <c r="G7" s="6">
        <f>D7-EXP(-D7)</f>
        <v/>
      </c>
      <c r="H7" s="6" t="n"/>
      <c r="I7" s="6">
        <f>IF(ISNUMBER(G7),ABS(G7),"")</f>
        <v/>
      </c>
      <c r="J7" s="4">
        <f>IF(AND(ISNUMBER(H7),H7&lt;$B$4,I7&lt;$B$4),TRUE,FALSE)</f>
        <v/>
      </c>
      <c r="K7" s="4">
        <f>IF(J7,"&lt;= KONVERGEN","lanjut")</f>
        <v/>
      </c>
    </row>
    <row r="8">
      <c r="A8" s="4" t="n">
        <v>2</v>
      </c>
      <c r="B8" s="6">
        <f>IF(J7,B7,IF(SIGN(G7)=SIGN(E7),D7,B7))</f>
        <v/>
      </c>
      <c r="C8" s="6">
        <f>IF(J7,C7,IF(SIGN(G7)=SIGN(E7),C7,D7))</f>
        <v/>
      </c>
      <c r="D8" s="6">
        <f>IF(J7,D7,IFERROR(B8-E8*(C8-B8)/(F8-E8),D7))</f>
        <v/>
      </c>
      <c r="E8" s="6">
        <f>B8-EXP(-B8)</f>
        <v/>
      </c>
      <c r="F8" s="6">
        <f>C8-EXP(-C8)</f>
        <v/>
      </c>
      <c r="G8" s="6">
        <f>D8-EXP(-D8)</f>
        <v/>
      </c>
      <c r="H8" s="6">
        <f>ABS(D8-D7)</f>
        <v/>
      </c>
      <c r="I8" s="6">
        <f>IF(ISNUMBER(G8),ABS(G8),"")</f>
        <v/>
      </c>
      <c r="J8" s="4">
        <f>IF(OR(J7,AND(ISNUMBER(H8),H8&lt;$B$4,I8&lt;$B$4)),TRUE,FALSE)</f>
        <v/>
      </c>
      <c r="K8" s="4">
        <f>IF(AND(J8,NOT(J7)),"&lt;= KONVERGEN",IF(J8,"","lanjut"))</f>
        <v/>
      </c>
    </row>
    <row r="9">
      <c r="A9" s="4" t="n">
        <v>3</v>
      </c>
      <c r="B9" s="6">
        <f>IF(J8,B8,IF(SIGN(G8)=SIGN(E8),D8,B8))</f>
        <v/>
      </c>
      <c r="C9" s="6">
        <f>IF(J8,C8,IF(SIGN(G8)=SIGN(E8),C8,D8))</f>
        <v/>
      </c>
      <c r="D9" s="6">
        <f>IF(J8,D8,IFERROR(B9-E9*(C9-B9)/(F9-E9),D8))</f>
        <v/>
      </c>
      <c r="E9" s="6">
        <f>B9-EXP(-B9)</f>
        <v/>
      </c>
      <c r="F9" s="6">
        <f>C9-EXP(-C9)</f>
        <v/>
      </c>
      <c r="G9" s="6">
        <f>D9-EXP(-D9)</f>
        <v/>
      </c>
      <c r="H9" s="6">
        <f>ABS(D9-D8)</f>
        <v/>
      </c>
      <c r="I9" s="6">
        <f>IF(ISNUMBER(G9),ABS(G9),"")</f>
        <v/>
      </c>
      <c r="J9" s="4">
        <f>IF(OR(J8,AND(ISNUMBER(H9),H9&lt;$B$4,I9&lt;$B$4)),TRUE,FALSE)</f>
        <v/>
      </c>
      <c r="K9" s="4">
        <f>IF(AND(J9,NOT(J8)),"&lt;= KONVERGEN",IF(J9,"","lanjut"))</f>
        <v/>
      </c>
    </row>
    <row r="10">
      <c r="A10" s="4" t="n">
        <v>4</v>
      </c>
      <c r="B10" s="6">
        <f>IF(J9,B9,IF(SIGN(G9)=SIGN(E9),D9,B9))</f>
        <v/>
      </c>
      <c r="C10" s="6">
        <f>IF(J9,C9,IF(SIGN(G9)=SIGN(E9),C9,D9))</f>
        <v/>
      </c>
      <c r="D10" s="6">
        <f>IF(J9,D9,IFERROR(B10-E10*(C10-B10)/(F10-E10),D9))</f>
        <v/>
      </c>
      <c r="E10" s="6">
        <f>B10-EXP(-B10)</f>
        <v/>
      </c>
      <c r="F10" s="6">
        <f>C10-EXP(-C10)</f>
        <v/>
      </c>
      <c r="G10" s="6">
        <f>D10-EXP(-D10)</f>
        <v/>
      </c>
      <c r="H10" s="6">
        <f>ABS(D10-D9)</f>
        <v/>
      </c>
      <c r="I10" s="6">
        <f>IF(ISNUMBER(G10),ABS(G10),"")</f>
        <v/>
      </c>
      <c r="J10" s="4">
        <f>IF(OR(J9,AND(ISNUMBER(H10),H10&lt;$B$4,I10&lt;$B$4)),TRUE,FALSE)</f>
        <v/>
      </c>
      <c r="K10" s="4">
        <f>IF(AND(J10,NOT(J9)),"&lt;= KONVERGEN",IF(J10,"","lanjut"))</f>
        <v/>
      </c>
    </row>
    <row r="11">
      <c r="A11" s="4" t="n">
        <v>5</v>
      </c>
      <c r="B11" s="6">
        <f>IF(J10,B10,IF(SIGN(G10)=SIGN(E10),D10,B10))</f>
        <v/>
      </c>
      <c r="C11" s="6">
        <f>IF(J10,C10,IF(SIGN(G10)=SIGN(E10),C10,D10))</f>
        <v/>
      </c>
      <c r="D11" s="6">
        <f>IF(J10,D10,IFERROR(B11-E11*(C11-B11)/(F11-E11),D10))</f>
        <v/>
      </c>
      <c r="E11" s="6">
        <f>B11-EXP(-B11)</f>
        <v/>
      </c>
      <c r="F11" s="6">
        <f>C11-EXP(-C11)</f>
        <v/>
      </c>
      <c r="G11" s="6">
        <f>D11-EXP(-D11)</f>
        <v/>
      </c>
      <c r="H11" s="6">
        <f>ABS(D11-D10)</f>
        <v/>
      </c>
      <c r="I11" s="6">
        <f>IF(ISNUMBER(G11),ABS(G11),"")</f>
        <v/>
      </c>
      <c r="J11" s="4">
        <f>IF(OR(J10,AND(ISNUMBER(H11),H11&lt;$B$4,I11&lt;$B$4)),TRUE,FALSE)</f>
        <v/>
      </c>
      <c r="K11" s="4">
        <f>IF(AND(J11,NOT(J10)),"&lt;= KONVERGEN",IF(J11,"","lanjut"))</f>
        <v/>
      </c>
    </row>
    <row r="12">
      <c r="A12" s="4" t="n">
        <v>6</v>
      </c>
      <c r="B12" s="6">
        <f>IF(J11,B11,IF(SIGN(G11)=SIGN(E11),D11,B11))</f>
        <v/>
      </c>
      <c r="C12" s="6">
        <f>IF(J11,C11,IF(SIGN(G11)=SIGN(E11),C11,D11))</f>
        <v/>
      </c>
      <c r="D12" s="6">
        <f>IF(J11,D11,IFERROR(B12-E12*(C12-B12)/(F12-E12),D11))</f>
        <v/>
      </c>
      <c r="E12" s="6">
        <f>B12-EXP(-B12)</f>
        <v/>
      </c>
      <c r="F12" s="6">
        <f>C12-EXP(-C12)</f>
        <v/>
      </c>
      <c r="G12" s="6">
        <f>D12-EXP(-D12)</f>
        <v/>
      </c>
      <c r="H12" s="6">
        <f>ABS(D12-D11)</f>
        <v/>
      </c>
      <c r="I12" s="6">
        <f>IF(ISNUMBER(G12),ABS(G12),"")</f>
        <v/>
      </c>
      <c r="J12" s="4">
        <f>IF(OR(J11,AND(ISNUMBER(H12),H12&lt;$B$4,I12&lt;$B$4)),TRUE,FALSE)</f>
        <v/>
      </c>
      <c r="K12" s="4">
        <f>IF(AND(J12,NOT(J11)),"&lt;= KONVERGEN",IF(J12,"","lanjut"))</f>
        <v/>
      </c>
    </row>
    <row r="13">
      <c r="A13" s="4" t="n">
        <v>7</v>
      </c>
      <c r="B13" s="6">
        <f>IF(J12,B12,IF(SIGN(G12)=SIGN(E12),D12,B12))</f>
        <v/>
      </c>
      <c r="C13" s="6">
        <f>IF(J12,C12,IF(SIGN(G12)=SIGN(E12),C12,D12))</f>
        <v/>
      </c>
      <c r="D13" s="6">
        <f>IF(J12,D12,IFERROR(B13-E13*(C13-B13)/(F13-E13),D12))</f>
        <v/>
      </c>
      <c r="E13" s="6">
        <f>B13-EXP(-B13)</f>
        <v/>
      </c>
      <c r="F13" s="6">
        <f>C13-EXP(-C13)</f>
        <v/>
      </c>
      <c r="G13" s="6">
        <f>D13-EXP(-D13)</f>
        <v/>
      </c>
      <c r="H13" s="6">
        <f>ABS(D13-D12)</f>
        <v/>
      </c>
      <c r="I13" s="6">
        <f>IF(ISNUMBER(G13),ABS(G13),"")</f>
        <v/>
      </c>
      <c r="J13" s="4">
        <f>IF(OR(J12,AND(ISNUMBER(H13),H13&lt;$B$4,I13&lt;$B$4)),TRUE,FALSE)</f>
        <v/>
      </c>
      <c r="K13" s="4">
        <f>IF(AND(J13,NOT(J12)),"&lt;= KONVERGEN",IF(J13,"","lanjut"))</f>
        <v/>
      </c>
    </row>
    <row r="14">
      <c r="A14" s="4" t="n">
        <v>8</v>
      </c>
      <c r="B14" s="6">
        <f>IF(J13,B13,IF(SIGN(G13)=SIGN(E13),D13,B13))</f>
        <v/>
      </c>
      <c r="C14" s="6">
        <f>IF(J13,C13,IF(SIGN(G13)=SIGN(E13),C13,D13))</f>
        <v/>
      </c>
      <c r="D14" s="6">
        <f>IF(J13,D13,IFERROR(B14-E14*(C14-B14)/(F14-E14),D13))</f>
        <v/>
      </c>
      <c r="E14" s="6">
        <f>B14-EXP(-B14)</f>
        <v/>
      </c>
      <c r="F14" s="6">
        <f>C14-EXP(-C14)</f>
        <v/>
      </c>
      <c r="G14" s="6">
        <f>D14-EXP(-D14)</f>
        <v/>
      </c>
      <c r="H14" s="6">
        <f>ABS(D14-D13)</f>
        <v/>
      </c>
      <c r="I14" s="6">
        <f>IF(ISNUMBER(G14),ABS(G14),"")</f>
        <v/>
      </c>
      <c r="J14" s="4">
        <f>IF(OR(J13,AND(ISNUMBER(H14),H14&lt;$B$4,I14&lt;$B$4)),TRUE,FALSE)</f>
        <v/>
      </c>
      <c r="K14" s="4">
        <f>IF(AND(J14,NOT(J13)),"&lt;= KONVERGEN",IF(J14,"","lanjut"))</f>
        <v/>
      </c>
    </row>
    <row r="15">
      <c r="A15" s="4" t="n">
        <v>9</v>
      </c>
      <c r="B15" s="6">
        <f>IF(J14,B14,IF(SIGN(G14)=SIGN(E14),D14,B14))</f>
        <v/>
      </c>
      <c r="C15" s="6">
        <f>IF(J14,C14,IF(SIGN(G14)=SIGN(E14),C14,D14))</f>
        <v/>
      </c>
      <c r="D15" s="6">
        <f>IF(J14,D14,IFERROR(B15-E15*(C15-B15)/(F15-E15),D14))</f>
        <v/>
      </c>
      <c r="E15" s="6">
        <f>B15-EXP(-B15)</f>
        <v/>
      </c>
      <c r="F15" s="6">
        <f>C15-EXP(-C15)</f>
        <v/>
      </c>
      <c r="G15" s="6">
        <f>D15-EXP(-D15)</f>
        <v/>
      </c>
      <c r="H15" s="6">
        <f>ABS(D15-D14)</f>
        <v/>
      </c>
      <c r="I15" s="6">
        <f>IF(ISNUMBER(G15),ABS(G15),"")</f>
        <v/>
      </c>
      <c r="J15" s="4">
        <f>IF(OR(J14,AND(ISNUMBER(H15),H15&lt;$B$4,I15&lt;$B$4)),TRUE,FALSE)</f>
        <v/>
      </c>
      <c r="K15" s="4">
        <f>IF(AND(J15,NOT(J14)),"&lt;= KONVERGEN",IF(J15,"","lanjut"))</f>
        <v/>
      </c>
    </row>
    <row r="16">
      <c r="A16" s="4" t="n">
        <v>10</v>
      </c>
      <c r="B16" s="6">
        <f>IF(J15,B15,IF(SIGN(G15)=SIGN(E15),D15,B15))</f>
        <v/>
      </c>
      <c r="C16" s="6">
        <f>IF(J15,C15,IF(SIGN(G15)=SIGN(E15),C15,D15))</f>
        <v/>
      </c>
      <c r="D16" s="6">
        <f>IF(J15,D15,IFERROR(B16-E16*(C16-B16)/(F16-E16),D15))</f>
        <v/>
      </c>
      <c r="E16" s="6">
        <f>B16-EXP(-B16)</f>
        <v/>
      </c>
      <c r="F16" s="6">
        <f>C16-EXP(-C16)</f>
        <v/>
      </c>
      <c r="G16" s="6">
        <f>D16-EXP(-D16)</f>
        <v/>
      </c>
      <c r="H16" s="6">
        <f>ABS(D16-D15)</f>
        <v/>
      </c>
      <c r="I16" s="6">
        <f>IF(ISNUMBER(G16),ABS(G16),"")</f>
        <v/>
      </c>
      <c r="J16" s="4">
        <f>IF(OR(J15,AND(ISNUMBER(H16),H16&lt;$B$4,I16&lt;$B$4)),TRUE,FALSE)</f>
        <v/>
      </c>
      <c r="K16" s="4">
        <f>IF(AND(J16,NOT(J15)),"&lt;= KONVERGEN",IF(J16,"","lanjut"))</f>
        <v/>
      </c>
    </row>
    <row r="17">
      <c r="A17" s="4" t="n">
        <v>11</v>
      </c>
      <c r="B17" s="6">
        <f>IF(J16,B16,IF(SIGN(G16)=SIGN(E16),D16,B16))</f>
        <v/>
      </c>
      <c r="C17" s="6">
        <f>IF(J16,C16,IF(SIGN(G16)=SIGN(E16),C16,D16))</f>
        <v/>
      </c>
      <c r="D17" s="6">
        <f>IF(J16,D16,IFERROR(B17-E17*(C17-B17)/(F17-E17),D16))</f>
        <v/>
      </c>
      <c r="E17" s="6">
        <f>B17-EXP(-B17)</f>
        <v/>
      </c>
      <c r="F17" s="6">
        <f>C17-EXP(-C17)</f>
        <v/>
      </c>
      <c r="G17" s="6">
        <f>D17-EXP(-D17)</f>
        <v/>
      </c>
      <c r="H17" s="6">
        <f>ABS(D17-D16)</f>
        <v/>
      </c>
      <c r="I17" s="6">
        <f>IF(ISNUMBER(G17),ABS(G17),"")</f>
        <v/>
      </c>
      <c r="J17" s="4">
        <f>IF(OR(J16,AND(ISNUMBER(H17),H17&lt;$B$4,I17&lt;$B$4)),TRUE,FALSE)</f>
        <v/>
      </c>
      <c r="K17" s="4">
        <f>IF(AND(J17,NOT(J16)),"&lt;= KONVERGEN",IF(J17,"","lanjut"))</f>
        <v/>
      </c>
    </row>
    <row r="18">
      <c r="A18" s="4" t="n">
        <v>12</v>
      </c>
      <c r="B18" s="6">
        <f>IF(J17,B17,IF(SIGN(G17)=SIGN(E17),D17,B17))</f>
        <v/>
      </c>
      <c r="C18" s="6">
        <f>IF(J17,C17,IF(SIGN(G17)=SIGN(E17),C17,D17))</f>
        <v/>
      </c>
      <c r="D18" s="6">
        <f>IF(J17,D17,IFERROR(B18-E18*(C18-B18)/(F18-E18),D17))</f>
        <v/>
      </c>
      <c r="E18" s="6">
        <f>B18-EXP(-B18)</f>
        <v/>
      </c>
      <c r="F18" s="6">
        <f>C18-EXP(-C18)</f>
        <v/>
      </c>
      <c r="G18" s="6">
        <f>D18-EXP(-D18)</f>
        <v/>
      </c>
      <c r="H18" s="6">
        <f>ABS(D18-D17)</f>
        <v/>
      </c>
      <c r="I18" s="6">
        <f>IF(ISNUMBER(G18),ABS(G18),"")</f>
        <v/>
      </c>
      <c r="J18" s="4">
        <f>IF(OR(J17,AND(ISNUMBER(H18),H18&lt;$B$4,I18&lt;$B$4)),TRUE,FALSE)</f>
        <v/>
      </c>
      <c r="K18" s="4">
        <f>IF(AND(J18,NOT(J17)),"&lt;= KONVERGEN",IF(J18,"","lanjut"))</f>
        <v/>
      </c>
    </row>
    <row r="19">
      <c r="A19" s="4" t="n">
        <v>13</v>
      </c>
      <c r="B19" s="6">
        <f>IF(J18,B18,IF(SIGN(G18)=SIGN(E18),D18,B18))</f>
        <v/>
      </c>
      <c r="C19" s="6">
        <f>IF(J18,C18,IF(SIGN(G18)=SIGN(E18),C18,D18))</f>
        <v/>
      </c>
      <c r="D19" s="6">
        <f>IF(J18,D18,IFERROR(B19-E19*(C19-B19)/(F19-E19),D18))</f>
        <v/>
      </c>
      <c r="E19" s="6">
        <f>B19-EXP(-B19)</f>
        <v/>
      </c>
      <c r="F19" s="6">
        <f>C19-EXP(-C19)</f>
        <v/>
      </c>
      <c r="G19" s="6">
        <f>D19-EXP(-D19)</f>
        <v/>
      </c>
      <c r="H19" s="6">
        <f>ABS(D19-D18)</f>
        <v/>
      </c>
      <c r="I19" s="6">
        <f>IF(ISNUMBER(G19),ABS(G19),"")</f>
        <v/>
      </c>
      <c r="J19" s="4">
        <f>IF(OR(J18,AND(ISNUMBER(H19),H19&lt;$B$4,I19&lt;$B$4)),TRUE,FALSE)</f>
        <v/>
      </c>
      <c r="K19" s="4">
        <f>IF(AND(J19,NOT(J18)),"&lt;= KONVERGEN",IF(J19,"","lanjut"))</f>
        <v/>
      </c>
    </row>
    <row r="20">
      <c r="A20" s="4" t="n">
        <v>14</v>
      </c>
      <c r="B20" s="6">
        <f>IF(J19,B19,IF(SIGN(G19)=SIGN(E19),D19,B19))</f>
        <v/>
      </c>
      <c r="C20" s="6">
        <f>IF(J19,C19,IF(SIGN(G19)=SIGN(E19),C19,D19))</f>
        <v/>
      </c>
      <c r="D20" s="6">
        <f>IF(J19,D19,IFERROR(B20-E20*(C20-B20)/(F20-E20),D19))</f>
        <v/>
      </c>
      <c r="E20" s="6">
        <f>B20-EXP(-B20)</f>
        <v/>
      </c>
      <c r="F20" s="6">
        <f>C20-EXP(-C20)</f>
        <v/>
      </c>
      <c r="G20" s="6">
        <f>D20-EXP(-D20)</f>
        <v/>
      </c>
      <c r="H20" s="6">
        <f>ABS(D20-D19)</f>
        <v/>
      </c>
      <c r="I20" s="6">
        <f>IF(ISNUMBER(G20),ABS(G20),"")</f>
        <v/>
      </c>
      <c r="J20" s="4">
        <f>IF(OR(J19,AND(ISNUMBER(H20),H20&lt;$B$4,I20&lt;$B$4)),TRUE,FALSE)</f>
        <v/>
      </c>
      <c r="K20" s="4">
        <f>IF(AND(J20,NOT(J19)),"&lt;= KONVERGEN",IF(J20,"","lanjut"))</f>
        <v/>
      </c>
    </row>
    <row r="21">
      <c r="A21" s="4" t="n">
        <v>15</v>
      </c>
      <c r="B21" s="6">
        <f>IF(J20,B20,IF(SIGN(G20)=SIGN(E20),D20,B20))</f>
        <v/>
      </c>
      <c r="C21" s="6">
        <f>IF(J20,C20,IF(SIGN(G20)=SIGN(E20),C20,D20))</f>
        <v/>
      </c>
      <c r="D21" s="6">
        <f>IF(J20,D20,IFERROR(B21-E21*(C21-B21)/(F21-E21),D20))</f>
        <v/>
      </c>
      <c r="E21" s="6">
        <f>B21-EXP(-B21)</f>
        <v/>
      </c>
      <c r="F21" s="6">
        <f>C21-EXP(-C21)</f>
        <v/>
      </c>
      <c r="G21" s="6">
        <f>D21-EXP(-D21)</f>
        <v/>
      </c>
      <c r="H21" s="6">
        <f>ABS(D21-D20)</f>
        <v/>
      </c>
      <c r="I21" s="6">
        <f>IF(ISNUMBER(G21),ABS(G21),"")</f>
        <v/>
      </c>
      <c r="J21" s="4">
        <f>IF(OR(J20,AND(ISNUMBER(H21),H21&lt;$B$4,I21&lt;$B$4)),TRUE,FALSE)</f>
        <v/>
      </c>
      <c r="K21" s="4">
        <f>IF(AND(J21,NOT(J20)),"&lt;= KONVERGEN",IF(J21,"","lanjut"))</f>
        <v/>
      </c>
    </row>
    <row r="22">
      <c r="A22" s="4" t="n">
        <v>16</v>
      </c>
      <c r="B22" s="6">
        <f>IF(J21,B21,IF(SIGN(G21)=SIGN(E21),D21,B21))</f>
        <v/>
      </c>
      <c r="C22" s="6">
        <f>IF(J21,C21,IF(SIGN(G21)=SIGN(E21),C21,D21))</f>
        <v/>
      </c>
      <c r="D22" s="6">
        <f>IF(J21,D21,IFERROR(B22-E22*(C22-B22)/(F22-E22),D21))</f>
        <v/>
      </c>
      <c r="E22" s="6">
        <f>B22-EXP(-B22)</f>
        <v/>
      </c>
      <c r="F22" s="6">
        <f>C22-EXP(-C22)</f>
        <v/>
      </c>
      <c r="G22" s="6">
        <f>D22-EXP(-D22)</f>
        <v/>
      </c>
      <c r="H22" s="6">
        <f>ABS(D22-D21)</f>
        <v/>
      </c>
      <c r="I22" s="6">
        <f>IF(ISNUMBER(G22),ABS(G22),"")</f>
        <v/>
      </c>
      <c r="J22" s="4">
        <f>IF(OR(J21,AND(ISNUMBER(H22),H22&lt;$B$4,I22&lt;$B$4)),TRUE,FALSE)</f>
        <v/>
      </c>
      <c r="K22" s="4">
        <f>IF(AND(J22,NOT(J21)),"&lt;= KONVERGEN",IF(J22,"","lanjut"))</f>
        <v/>
      </c>
    </row>
    <row r="23">
      <c r="A23" s="4" t="n">
        <v>17</v>
      </c>
      <c r="B23" s="6">
        <f>IF(J22,B22,IF(SIGN(G22)=SIGN(E22),D22,B22))</f>
        <v/>
      </c>
      <c r="C23" s="6">
        <f>IF(J22,C22,IF(SIGN(G22)=SIGN(E22),C22,D22))</f>
        <v/>
      </c>
      <c r="D23" s="6">
        <f>IF(J22,D22,IFERROR(B23-E23*(C23-B23)/(F23-E23),D22))</f>
        <v/>
      </c>
      <c r="E23" s="6">
        <f>B23-EXP(-B23)</f>
        <v/>
      </c>
      <c r="F23" s="6">
        <f>C23-EXP(-C23)</f>
        <v/>
      </c>
      <c r="G23" s="6">
        <f>D23-EXP(-D23)</f>
        <v/>
      </c>
      <c r="H23" s="6">
        <f>ABS(D23-D22)</f>
        <v/>
      </c>
      <c r="I23" s="6">
        <f>IF(ISNUMBER(G23),ABS(G23),"")</f>
        <v/>
      </c>
      <c r="J23" s="4">
        <f>IF(OR(J22,AND(ISNUMBER(H23),H23&lt;$B$4,I23&lt;$B$4)),TRUE,FALSE)</f>
        <v/>
      </c>
      <c r="K23" s="4">
        <f>IF(AND(J23,NOT(J22)),"&lt;= KONVERGEN",IF(J23,"","lanjut"))</f>
        <v/>
      </c>
    </row>
    <row r="24">
      <c r="A24" s="4" t="n">
        <v>18</v>
      </c>
      <c r="B24" s="6">
        <f>IF(J23,B23,IF(SIGN(G23)=SIGN(E23),D23,B23))</f>
        <v/>
      </c>
      <c r="C24" s="6">
        <f>IF(J23,C23,IF(SIGN(G23)=SIGN(E23),C23,D23))</f>
        <v/>
      </c>
      <c r="D24" s="6">
        <f>IF(J23,D23,IFERROR(B24-E24*(C24-B24)/(F24-E24),D23))</f>
        <v/>
      </c>
      <c r="E24" s="6">
        <f>B24-EXP(-B24)</f>
        <v/>
      </c>
      <c r="F24" s="6">
        <f>C24-EXP(-C24)</f>
        <v/>
      </c>
      <c r="G24" s="6">
        <f>D24-EXP(-D24)</f>
        <v/>
      </c>
      <c r="H24" s="6">
        <f>ABS(D24-D23)</f>
        <v/>
      </c>
      <c r="I24" s="6">
        <f>IF(ISNUMBER(G24),ABS(G24),"")</f>
        <v/>
      </c>
      <c r="J24" s="4">
        <f>IF(OR(J23,AND(ISNUMBER(H24),H24&lt;$B$4,I24&lt;$B$4)),TRUE,FALSE)</f>
        <v/>
      </c>
      <c r="K24" s="4">
        <f>IF(AND(J24,NOT(J23)),"&lt;= KONVERGEN",IF(J24,"","lanjut"))</f>
        <v/>
      </c>
    </row>
    <row r="25">
      <c r="A25" s="4" t="n">
        <v>19</v>
      </c>
      <c r="B25" s="6">
        <f>IF(J24,B24,IF(SIGN(G24)=SIGN(E24),D24,B24))</f>
        <v/>
      </c>
      <c r="C25" s="6">
        <f>IF(J24,C24,IF(SIGN(G24)=SIGN(E24),C24,D24))</f>
        <v/>
      </c>
      <c r="D25" s="6">
        <f>IF(J24,D24,IFERROR(B25-E25*(C25-B25)/(F25-E25),D24))</f>
        <v/>
      </c>
      <c r="E25" s="6">
        <f>B25-EXP(-B25)</f>
        <v/>
      </c>
      <c r="F25" s="6">
        <f>C25-EXP(-C25)</f>
        <v/>
      </c>
      <c r="G25" s="6">
        <f>D25-EXP(-D25)</f>
        <v/>
      </c>
      <c r="H25" s="6">
        <f>ABS(D25-D24)</f>
        <v/>
      </c>
      <c r="I25" s="6">
        <f>IF(ISNUMBER(G25),ABS(G25),"")</f>
        <v/>
      </c>
      <c r="J25" s="4">
        <f>IF(OR(J24,AND(ISNUMBER(H25),H25&lt;$B$4,I25&lt;$B$4)),TRUE,FALSE)</f>
        <v/>
      </c>
      <c r="K25" s="4">
        <f>IF(AND(J25,NOT(J24)),"&lt;= KONVERGEN",IF(J25,"","lanjut"))</f>
        <v/>
      </c>
    </row>
    <row r="26">
      <c r="A26" s="4" t="n">
        <v>20</v>
      </c>
      <c r="B26" s="6">
        <f>IF(J25,B25,IF(SIGN(G25)=SIGN(E25),D25,B25))</f>
        <v/>
      </c>
      <c r="C26" s="6">
        <f>IF(J25,C25,IF(SIGN(G25)=SIGN(E25),C25,D25))</f>
        <v/>
      </c>
      <c r="D26" s="6">
        <f>IF(J25,D25,IFERROR(B26-E26*(C26-B26)/(F26-E26),D25))</f>
        <v/>
      </c>
      <c r="E26" s="6">
        <f>B26-EXP(-B26)</f>
        <v/>
      </c>
      <c r="F26" s="6">
        <f>C26-EXP(-C26)</f>
        <v/>
      </c>
      <c r="G26" s="6">
        <f>D26-EXP(-D26)</f>
        <v/>
      </c>
      <c r="H26" s="6">
        <f>ABS(D26-D25)</f>
        <v/>
      </c>
      <c r="I26" s="6">
        <f>IF(ISNUMBER(G26),ABS(G26),"")</f>
        <v/>
      </c>
      <c r="J26" s="4">
        <f>IF(OR(J25,AND(ISNUMBER(H26),H26&lt;$B$4,I26&lt;$B$4)),TRUE,FALSE)</f>
        <v/>
      </c>
      <c r="K26" s="4">
        <f>IF(AND(J26,NOT(J25)),"&lt;= KONVERGEN",IF(J26,"","lanjut"))</f>
        <v/>
      </c>
    </row>
    <row r="28">
      <c r="A28" s="9" t="inlineStr">
        <is>
          <t>Akar:</t>
        </is>
      </c>
      <c r="B28" s="11">
        <f>D26</f>
        <v/>
      </c>
      <c r="D28" s="7" t="inlineStr">
        <is>
          <t>f(akar):</t>
        </is>
      </c>
      <c r="E28" s="12">
        <f>G26</f>
        <v/>
      </c>
    </row>
    <row r="29">
      <c r="A29" t="inlineStr">
        <is>
          <t>Jumlah iterasi sampai konvergen:</t>
        </is>
      </c>
      <c r="D29" s="13">
        <f>IFERROR(MATCH(TRUE,J7:J26,0),"-")</f>
        <v/>
      </c>
    </row>
  </sheetData>
  <pageMargins left="0.4" right="0.4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5" customWidth="1" min="8" max="8"/>
    <col width="13" customWidth="1" min="9" max="9"/>
    <col width="9" customWidth="1" min="10" max="10"/>
    <col width="14" customWidth="1" min="11" max="11"/>
  </cols>
  <sheetData>
    <row r="1">
      <c r="A1" s="8" t="inlineStr">
        <is>
          <t>SOAL 10 - METODE REGULA FALSI</t>
        </is>
      </c>
    </row>
    <row r="2">
      <c r="A2" s="9" t="inlineStr">
        <is>
          <t>f(x) = ln[(1 + x)/(1 - x^2)] = 0</t>
        </is>
      </c>
    </row>
    <row r="3">
      <c r="A3" s="7" t="inlineStr">
        <is>
          <t>Interval:</t>
        </is>
      </c>
      <c r="B3" t="inlineStr">
        <is>
          <t>a =</t>
        </is>
      </c>
      <c r="C3" s="10" t="n">
        <v>-0.5</v>
      </c>
      <c r="D3" t="inlineStr">
        <is>
          <t>b =</t>
        </is>
      </c>
      <c r="E3" s="10" t="n">
        <v>0.5</v>
      </c>
    </row>
    <row r="4">
      <c r="A4" s="7" t="inlineStr">
        <is>
          <t>Toleransi:</t>
        </is>
      </c>
      <c r="B4" s="10" t="n">
        <v>0.001</v>
      </c>
      <c r="C4" t="inlineStr">
        <is>
          <t>berhenti bila |x(k) - x(k-1)| &lt; tol  dan  |f(x)| &lt; tol</t>
        </is>
      </c>
    </row>
    <row r="6">
      <c r="A6" s="3" t="inlineStr">
        <is>
          <t>Iterasi k</t>
        </is>
      </c>
      <c r="B6" s="3" t="inlineStr">
        <is>
          <t>a</t>
        </is>
      </c>
      <c r="C6" s="3" t="inlineStr">
        <is>
          <t>b</t>
        </is>
      </c>
      <c r="D6" s="3" t="inlineStr">
        <is>
          <t>x(k)</t>
        </is>
      </c>
      <c r="E6" s="3" t="inlineStr">
        <is>
          <t>f(a)</t>
        </is>
      </c>
      <c r="F6" s="3" t="inlineStr">
        <is>
          <t>f(b)</t>
        </is>
      </c>
      <c r="G6" s="3" t="inlineStr">
        <is>
          <t>f(x(k))</t>
        </is>
      </c>
      <c r="H6" s="3" t="inlineStr">
        <is>
          <t>|x(k)-x(k-1)|</t>
        </is>
      </c>
      <c r="I6" s="3" t="inlineStr">
        <is>
          <t>|f(x(k))|</t>
        </is>
      </c>
      <c r="J6" s="3" t="inlineStr">
        <is>
          <t>selesai?</t>
        </is>
      </c>
      <c r="K6" s="3" t="inlineStr">
        <is>
          <t>Status</t>
        </is>
      </c>
    </row>
    <row r="7">
      <c r="A7" s="4" t="n">
        <v>1</v>
      </c>
      <c r="B7" s="6">
        <f>C3</f>
        <v/>
      </c>
      <c r="C7" s="6">
        <f>E3</f>
        <v/>
      </c>
      <c r="D7" s="6">
        <f>IFERROR(B7-E7*(C7-B7)/(F7-E7),"")</f>
        <v/>
      </c>
      <c r="E7" s="6">
        <f>LN((1+B7)/(1-B7^2))</f>
        <v/>
      </c>
      <c r="F7" s="6">
        <f>LN((1+C7)/(1-C7^2))</f>
        <v/>
      </c>
      <c r="G7" s="6">
        <f>LN((1+D7)/(1-D7^2))</f>
        <v/>
      </c>
      <c r="H7" s="6" t="n"/>
      <c r="I7" s="6">
        <f>IF(ISNUMBER(G7),ABS(G7),"")</f>
        <v/>
      </c>
      <c r="J7" s="4">
        <f>IF(AND(ISNUMBER(H7),H7&lt;$B$4,I7&lt;$B$4),TRUE,FALSE)</f>
        <v/>
      </c>
      <c r="K7" s="4">
        <f>IF(J7,"&lt;= KONVERGEN","lanjut")</f>
        <v/>
      </c>
    </row>
    <row r="8">
      <c r="A8" s="4" t="n">
        <v>2</v>
      </c>
      <c r="B8" s="6">
        <f>IF(J7,B7,IF(SIGN(G7)=SIGN(E7),D7,B7))</f>
        <v/>
      </c>
      <c r="C8" s="6">
        <f>IF(J7,C7,IF(SIGN(G7)=SIGN(E7),C7,D7))</f>
        <v/>
      </c>
      <c r="D8" s="6">
        <f>IF(J7,D7,IFERROR(B8-E8*(C8-B8)/(F8-E8),D7))</f>
        <v/>
      </c>
      <c r="E8" s="6">
        <f>LN((1+B8)/(1-B8^2))</f>
        <v/>
      </c>
      <c r="F8" s="6">
        <f>LN((1+C8)/(1-C8^2))</f>
        <v/>
      </c>
      <c r="G8" s="6">
        <f>LN((1+D8)/(1-D8^2))</f>
        <v/>
      </c>
      <c r="H8" s="6">
        <f>ABS(D8-D7)</f>
        <v/>
      </c>
      <c r="I8" s="6">
        <f>IF(ISNUMBER(G8),ABS(G8),"")</f>
        <v/>
      </c>
      <c r="J8" s="4">
        <f>IF(OR(J7,AND(ISNUMBER(H8),H8&lt;$B$4,I8&lt;$B$4)),TRUE,FALSE)</f>
        <v/>
      </c>
      <c r="K8" s="4">
        <f>IF(AND(J8,NOT(J7)),"&lt;= KONVERGEN",IF(J8,"","lanjut"))</f>
        <v/>
      </c>
    </row>
    <row r="9">
      <c r="A9" s="4" t="n">
        <v>3</v>
      </c>
      <c r="B9" s="6">
        <f>IF(J8,B8,IF(SIGN(G8)=SIGN(E8),D8,B8))</f>
        <v/>
      </c>
      <c r="C9" s="6">
        <f>IF(J8,C8,IF(SIGN(G8)=SIGN(E8),C8,D8))</f>
        <v/>
      </c>
      <c r="D9" s="6">
        <f>IF(J8,D8,IFERROR(B9-E9*(C9-B9)/(F9-E9),D8))</f>
        <v/>
      </c>
      <c r="E9" s="6">
        <f>LN((1+B9)/(1-B9^2))</f>
        <v/>
      </c>
      <c r="F9" s="6">
        <f>LN((1+C9)/(1-C9^2))</f>
        <v/>
      </c>
      <c r="G9" s="6">
        <f>LN((1+D9)/(1-D9^2))</f>
        <v/>
      </c>
      <c r="H9" s="6">
        <f>ABS(D9-D8)</f>
        <v/>
      </c>
      <c r="I9" s="6">
        <f>IF(ISNUMBER(G9),ABS(G9),"")</f>
        <v/>
      </c>
      <c r="J9" s="4">
        <f>IF(OR(J8,AND(ISNUMBER(H9),H9&lt;$B$4,I9&lt;$B$4)),TRUE,FALSE)</f>
        <v/>
      </c>
      <c r="K9" s="4">
        <f>IF(AND(J9,NOT(J8)),"&lt;= KONVERGEN",IF(J9,"","lanjut"))</f>
        <v/>
      </c>
    </row>
    <row r="10">
      <c r="A10" s="4" t="n">
        <v>4</v>
      </c>
      <c r="B10" s="6">
        <f>IF(J9,B9,IF(SIGN(G9)=SIGN(E9),D9,B9))</f>
        <v/>
      </c>
      <c r="C10" s="6">
        <f>IF(J9,C9,IF(SIGN(G9)=SIGN(E9),C9,D9))</f>
        <v/>
      </c>
      <c r="D10" s="6">
        <f>IF(J9,D9,IFERROR(B10-E10*(C10-B10)/(F10-E10),D9))</f>
        <v/>
      </c>
      <c r="E10" s="6">
        <f>LN((1+B10)/(1-B10^2))</f>
        <v/>
      </c>
      <c r="F10" s="6">
        <f>LN((1+C10)/(1-C10^2))</f>
        <v/>
      </c>
      <c r="G10" s="6">
        <f>LN((1+D10)/(1-D10^2))</f>
        <v/>
      </c>
      <c r="H10" s="6">
        <f>ABS(D10-D9)</f>
        <v/>
      </c>
      <c r="I10" s="6">
        <f>IF(ISNUMBER(G10),ABS(G10),"")</f>
        <v/>
      </c>
      <c r="J10" s="4">
        <f>IF(OR(J9,AND(ISNUMBER(H10),H10&lt;$B$4,I10&lt;$B$4)),TRUE,FALSE)</f>
        <v/>
      </c>
      <c r="K10" s="4">
        <f>IF(AND(J10,NOT(J9)),"&lt;= KONVERGEN",IF(J10,"","lanjut"))</f>
        <v/>
      </c>
    </row>
    <row r="11">
      <c r="A11" s="4" t="n">
        <v>5</v>
      </c>
      <c r="B11" s="6">
        <f>IF(J10,B10,IF(SIGN(G10)=SIGN(E10),D10,B10))</f>
        <v/>
      </c>
      <c r="C11" s="6">
        <f>IF(J10,C10,IF(SIGN(G10)=SIGN(E10),C10,D10))</f>
        <v/>
      </c>
      <c r="D11" s="6">
        <f>IF(J10,D10,IFERROR(B11-E11*(C11-B11)/(F11-E11),D10))</f>
        <v/>
      </c>
      <c r="E11" s="6">
        <f>LN((1+B11)/(1-B11^2))</f>
        <v/>
      </c>
      <c r="F11" s="6">
        <f>LN((1+C11)/(1-C11^2))</f>
        <v/>
      </c>
      <c r="G11" s="6">
        <f>LN((1+D11)/(1-D11^2))</f>
        <v/>
      </c>
      <c r="H11" s="6">
        <f>ABS(D11-D10)</f>
        <v/>
      </c>
      <c r="I11" s="6">
        <f>IF(ISNUMBER(G11),ABS(G11),"")</f>
        <v/>
      </c>
      <c r="J11" s="4">
        <f>IF(OR(J10,AND(ISNUMBER(H11),H11&lt;$B$4,I11&lt;$B$4)),TRUE,FALSE)</f>
        <v/>
      </c>
      <c r="K11" s="4">
        <f>IF(AND(J11,NOT(J10)),"&lt;= KONVERGEN",IF(J11,"","lanjut"))</f>
        <v/>
      </c>
    </row>
    <row r="12">
      <c r="A12" s="4" t="n">
        <v>6</v>
      </c>
      <c r="B12" s="6">
        <f>IF(J11,B11,IF(SIGN(G11)=SIGN(E11),D11,B11))</f>
        <v/>
      </c>
      <c r="C12" s="6">
        <f>IF(J11,C11,IF(SIGN(G11)=SIGN(E11),C11,D11))</f>
        <v/>
      </c>
      <c r="D12" s="6">
        <f>IF(J11,D11,IFERROR(B12-E12*(C12-B12)/(F12-E12),D11))</f>
        <v/>
      </c>
      <c r="E12" s="6">
        <f>LN((1+B12)/(1-B12^2))</f>
        <v/>
      </c>
      <c r="F12" s="6">
        <f>LN((1+C12)/(1-C12^2))</f>
        <v/>
      </c>
      <c r="G12" s="6">
        <f>LN((1+D12)/(1-D12^2))</f>
        <v/>
      </c>
      <c r="H12" s="6">
        <f>ABS(D12-D11)</f>
        <v/>
      </c>
      <c r="I12" s="6">
        <f>IF(ISNUMBER(G12),ABS(G12),"")</f>
        <v/>
      </c>
      <c r="J12" s="4">
        <f>IF(OR(J11,AND(ISNUMBER(H12),H12&lt;$B$4,I12&lt;$B$4)),TRUE,FALSE)</f>
        <v/>
      </c>
      <c r="K12" s="4">
        <f>IF(AND(J12,NOT(J11)),"&lt;= KONVERGEN",IF(J12,"","lanjut"))</f>
        <v/>
      </c>
    </row>
    <row r="13">
      <c r="A13" s="4" t="n">
        <v>7</v>
      </c>
      <c r="B13" s="6">
        <f>IF(J12,B12,IF(SIGN(G12)=SIGN(E12),D12,B12))</f>
        <v/>
      </c>
      <c r="C13" s="6">
        <f>IF(J12,C12,IF(SIGN(G12)=SIGN(E12),C12,D12))</f>
        <v/>
      </c>
      <c r="D13" s="6">
        <f>IF(J12,D12,IFERROR(B13-E13*(C13-B13)/(F13-E13),D12))</f>
        <v/>
      </c>
      <c r="E13" s="6">
        <f>LN((1+B13)/(1-B13^2))</f>
        <v/>
      </c>
      <c r="F13" s="6">
        <f>LN((1+C13)/(1-C13^2))</f>
        <v/>
      </c>
      <c r="G13" s="6">
        <f>LN((1+D13)/(1-D13^2))</f>
        <v/>
      </c>
      <c r="H13" s="6">
        <f>ABS(D13-D12)</f>
        <v/>
      </c>
      <c r="I13" s="6">
        <f>IF(ISNUMBER(G13),ABS(G13),"")</f>
        <v/>
      </c>
      <c r="J13" s="4">
        <f>IF(OR(J12,AND(ISNUMBER(H13),H13&lt;$B$4,I13&lt;$B$4)),TRUE,FALSE)</f>
        <v/>
      </c>
      <c r="K13" s="4">
        <f>IF(AND(J13,NOT(J12)),"&lt;= KONVERGEN",IF(J13,"","lanjut"))</f>
        <v/>
      </c>
    </row>
    <row r="14">
      <c r="A14" s="4" t="n">
        <v>8</v>
      </c>
      <c r="B14" s="6">
        <f>IF(J13,B13,IF(SIGN(G13)=SIGN(E13),D13,B13))</f>
        <v/>
      </c>
      <c r="C14" s="6">
        <f>IF(J13,C13,IF(SIGN(G13)=SIGN(E13),C13,D13))</f>
        <v/>
      </c>
      <c r="D14" s="6">
        <f>IF(J13,D13,IFERROR(B14-E14*(C14-B14)/(F14-E14),D13))</f>
        <v/>
      </c>
      <c r="E14" s="6">
        <f>LN((1+B14)/(1-B14^2))</f>
        <v/>
      </c>
      <c r="F14" s="6">
        <f>LN((1+C14)/(1-C14^2))</f>
        <v/>
      </c>
      <c r="G14" s="6">
        <f>LN((1+D14)/(1-D14^2))</f>
        <v/>
      </c>
      <c r="H14" s="6">
        <f>ABS(D14-D13)</f>
        <v/>
      </c>
      <c r="I14" s="6">
        <f>IF(ISNUMBER(G14),ABS(G14),"")</f>
        <v/>
      </c>
      <c r="J14" s="4">
        <f>IF(OR(J13,AND(ISNUMBER(H14),H14&lt;$B$4,I14&lt;$B$4)),TRUE,FALSE)</f>
        <v/>
      </c>
      <c r="K14" s="4">
        <f>IF(AND(J14,NOT(J13)),"&lt;= KONVERGEN",IF(J14,"","lanjut"))</f>
        <v/>
      </c>
    </row>
    <row r="15">
      <c r="A15" s="4" t="n">
        <v>9</v>
      </c>
      <c r="B15" s="6">
        <f>IF(J14,B14,IF(SIGN(G14)=SIGN(E14),D14,B14))</f>
        <v/>
      </c>
      <c r="C15" s="6">
        <f>IF(J14,C14,IF(SIGN(G14)=SIGN(E14),C14,D14))</f>
        <v/>
      </c>
      <c r="D15" s="6">
        <f>IF(J14,D14,IFERROR(B15-E15*(C15-B15)/(F15-E15),D14))</f>
        <v/>
      </c>
      <c r="E15" s="6">
        <f>LN((1+B15)/(1-B15^2))</f>
        <v/>
      </c>
      <c r="F15" s="6">
        <f>LN((1+C15)/(1-C15^2))</f>
        <v/>
      </c>
      <c r="G15" s="6">
        <f>LN((1+D15)/(1-D15^2))</f>
        <v/>
      </c>
      <c r="H15" s="6">
        <f>ABS(D15-D14)</f>
        <v/>
      </c>
      <c r="I15" s="6">
        <f>IF(ISNUMBER(G15),ABS(G15),"")</f>
        <v/>
      </c>
      <c r="J15" s="4">
        <f>IF(OR(J14,AND(ISNUMBER(H15),H15&lt;$B$4,I15&lt;$B$4)),TRUE,FALSE)</f>
        <v/>
      </c>
      <c r="K15" s="4">
        <f>IF(AND(J15,NOT(J14)),"&lt;= KONVERGEN",IF(J15,"","lanjut"))</f>
        <v/>
      </c>
    </row>
    <row r="16">
      <c r="A16" s="4" t="n">
        <v>10</v>
      </c>
      <c r="B16" s="6">
        <f>IF(J15,B15,IF(SIGN(G15)=SIGN(E15),D15,B15))</f>
        <v/>
      </c>
      <c r="C16" s="6">
        <f>IF(J15,C15,IF(SIGN(G15)=SIGN(E15),C15,D15))</f>
        <v/>
      </c>
      <c r="D16" s="6">
        <f>IF(J15,D15,IFERROR(B16-E16*(C16-B16)/(F16-E16),D15))</f>
        <v/>
      </c>
      <c r="E16" s="6">
        <f>LN((1+B16)/(1-B16^2))</f>
        <v/>
      </c>
      <c r="F16" s="6">
        <f>LN((1+C16)/(1-C16^2))</f>
        <v/>
      </c>
      <c r="G16" s="6">
        <f>LN((1+D16)/(1-D16^2))</f>
        <v/>
      </c>
      <c r="H16" s="6">
        <f>ABS(D16-D15)</f>
        <v/>
      </c>
      <c r="I16" s="6">
        <f>IF(ISNUMBER(G16),ABS(G16),"")</f>
        <v/>
      </c>
      <c r="J16" s="4">
        <f>IF(OR(J15,AND(ISNUMBER(H16),H16&lt;$B$4,I16&lt;$B$4)),TRUE,FALSE)</f>
        <v/>
      </c>
      <c r="K16" s="4">
        <f>IF(AND(J16,NOT(J15)),"&lt;= KONVERGEN",IF(J16,"","lanjut"))</f>
        <v/>
      </c>
    </row>
    <row r="17">
      <c r="A17" s="4" t="n">
        <v>11</v>
      </c>
      <c r="B17" s="6">
        <f>IF(J16,B16,IF(SIGN(G16)=SIGN(E16),D16,B16))</f>
        <v/>
      </c>
      <c r="C17" s="6">
        <f>IF(J16,C16,IF(SIGN(G16)=SIGN(E16),C16,D16))</f>
        <v/>
      </c>
      <c r="D17" s="6">
        <f>IF(J16,D16,IFERROR(B17-E17*(C17-B17)/(F17-E17),D16))</f>
        <v/>
      </c>
      <c r="E17" s="6">
        <f>LN((1+B17)/(1-B17^2))</f>
        <v/>
      </c>
      <c r="F17" s="6">
        <f>LN((1+C17)/(1-C17^2))</f>
        <v/>
      </c>
      <c r="G17" s="6">
        <f>LN((1+D17)/(1-D17^2))</f>
        <v/>
      </c>
      <c r="H17" s="6">
        <f>ABS(D17-D16)</f>
        <v/>
      </c>
      <c r="I17" s="6">
        <f>IF(ISNUMBER(G17),ABS(G17),"")</f>
        <v/>
      </c>
      <c r="J17" s="4">
        <f>IF(OR(J16,AND(ISNUMBER(H17),H17&lt;$B$4,I17&lt;$B$4)),TRUE,FALSE)</f>
        <v/>
      </c>
      <c r="K17" s="4">
        <f>IF(AND(J17,NOT(J16)),"&lt;= KONVERGEN",IF(J17,"","lanjut"))</f>
        <v/>
      </c>
    </row>
    <row r="18">
      <c r="A18" s="4" t="n">
        <v>12</v>
      </c>
      <c r="B18" s="6">
        <f>IF(J17,B17,IF(SIGN(G17)=SIGN(E17),D17,B17))</f>
        <v/>
      </c>
      <c r="C18" s="6">
        <f>IF(J17,C17,IF(SIGN(G17)=SIGN(E17),C17,D17))</f>
        <v/>
      </c>
      <c r="D18" s="6">
        <f>IF(J17,D17,IFERROR(B18-E18*(C18-B18)/(F18-E18),D17))</f>
        <v/>
      </c>
      <c r="E18" s="6">
        <f>LN((1+B18)/(1-B18^2))</f>
        <v/>
      </c>
      <c r="F18" s="6">
        <f>LN((1+C18)/(1-C18^2))</f>
        <v/>
      </c>
      <c r="G18" s="6">
        <f>LN((1+D18)/(1-D18^2))</f>
        <v/>
      </c>
      <c r="H18" s="6">
        <f>ABS(D18-D17)</f>
        <v/>
      </c>
      <c r="I18" s="6">
        <f>IF(ISNUMBER(G18),ABS(G18),"")</f>
        <v/>
      </c>
      <c r="J18" s="4">
        <f>IF(OR(J17,AND(ISNUMBER(H18),H18&lt;$B$4,I18&lt;$B$4)),TRUE,FALSE)</f>
        <v/>
      </c>
      <c r="K18" s="4">
        <f>IF(AND(J18,NOT(J17)),"&lt;= KONVERGEN",IF(J18,"","lanjut"))</f>
        <v/>
      </c>
    </row>
    <row r="19">
      <c r="A19" s="4" t="n">
        <v>13</v>
      </c>
      <c r="B19" s="6">
        <f>IF(J18,B18,IF(SIGN(G18)=SIGN(E18),D18,B18))</f>
        <v/>
      </c>
      <c r="C19" s="6">
        <f>IF(J18,C18,IF(SIGN(G18)=SIGN(E18),C18,D18))</f>
        <v/>
      </c>
      <c r="D19" s="6">
        <f>IF(J18,D18,IFERROR(B19-E19*(C19-B19)/(F19-E19),D18))</f>
        <v/>
      </c>
      <c r="E19" s="6">
        <f>LN((1+B19)/(1-B19^2))</f>
        <v/>
      </c>
      <c r="F19" s="6">
        <f>LN((1+C19)/(1-C19^2))</f>
        <v/>
      </c>
      <c r="G19" s="6">
        <f>LN((1+D19)/(1-D19^2))</f>
        <v/>
      </c>
      <c r="H19" s="6">
        <f>ABS(D19-D18)</f>
        <v/>
      </c>
      <c r="I19" s="6">
        <f>IF(ISNUMBER(G19),ABS(G19),"")</f>
        <v/>
      </c>
      <c r="J19" s="4">
        <f>IF(OR(J18,AND(ISNUMBER(H19),H19&lt;$B$4,I19&lt;$B$4)),TRUE,FALSE)</f>
        <v/>
      </c>
      <c r="K19" s="4">
        <f>IF(AND(J19,NOT(J18)),"&lt;= KONVERGEN",IF(J19,"","lanjut"))</f>
        <v/>
      </c>
    </row>
    <row r="20">
      <c r="A20" s="4" t="n">
        <v>14</v>
      </c>
      <c r="B20" s="6">
        <f>IF(J19,B19,IF(SIGN(G19)=SIGN(E19),D19,B19))</f>
        <v/>
      </c>
      <c r="C20" s="6">
        <f>IF(J19,C19,IF(SIGN(G19)=SIGN(E19),C19,D19))</f>
        <v/>
      </c>
      <c r="D20" s="6">
        <f>IF(J19,D19,IFERROR(B20-E20*(C20-B20)/(F20-E20),D19))</f>
        <v/>
      </c>
      <c r="E20" s="6">
        <f>LN((1+B20)/(1-B20^2))</f>
        <v/>
      </c>
      <c r="F20" s="6">
        <f>LN((1+C20)/(1-C20^2))</f>
        <v/>
      </c>
      <c r="G20" s="6">
        <f>LN((1+D20)/(1-D20^2))</f>
        <v/>
      </c>
      <c r="H20" s="6">
        <f>ABS(D20-D19)</f>
        <v/>
      </c>
      <c r="I20" s="6">
        <f>IF(ISNUMBER(G20),ABS(G20),"")</f>
        <v/>
      </c>
      <c r="J20" s="4">
        <f>IF(OR(J19,AND(ISNUMBER(H20),H20&lt;$B$4,I20&lt;$B$4)),TRUE,FALSE)</f>
        <v/>
      </c>
      <c r="K20" s="4">
        <f>IF(AND(J20,NOT(J19)),"&lt;= KONVERGEN",IF(J20,"","lanjut"))</f>
        <v/>
      </c>
    </row>
    <row r="21">
      <c r="A21" s="4" t="n">
        <v>15</v>
      </c>
      <c r="B21" s="6">
        <f>IF(J20,B20,IF(SIGN(G20)=SIGN(E20),D20,B20))</f>
        <v/>
      </c>
      <c r="C21" s="6">
        <f>IF(J20,C20,IF(SIGN(G20)=SIGN(E20),C20,D20))</f>
        <v/>
      </c>
      <c r="D21" s="6">
        <f>IF(J20,D20,IFERROR(B21-E21*(C21-B21)/(F21-E21),D20))</f>
        <v/>
      </c>
      <c r="E21" s="6">
        <f>LN((1+B21)/(1-B21^2))</f>
        <v/>
      </c>
      <c r="F21" s="6">
        <f>LN((1+C21)/(1-C21^2))</f>
        <v/>
      </c>
      <c r="G21" s="6">
        <f>LN((1+D21)/(1-D21^2))</f>
        <v/>
      </c>
      <c r="H21" s="6">
        <f>ABS(D21-D20)</f>
        <v/>
      </c>
      <c r="I21" s="6">
        <f>IF(ISNUMBER(G21),ABS(G21),"")</f>
        <v/>
      </c>
      <c r="J21" s="4">
        <f>IF(OR(J20,AND(ISNUMBER(H21),H21&lt;$B$4,I21&lt;$B$4)),TRUE,FALSE)</f>
        <v/>
      </c>
      <c r="K21" s="4">
        <f>IF(AND(J21,NOT(J20)),"&lt;= KONVERGEN",IF(J21,"","lanjut"))</f>
        <v/>
      </c>
    </row>
    <row r="22">
      <c r="A22" s="4" t="n">
        <v>16</v>
      </c>
      <c r="B22" s="6">
        <f>IF(J21,B21,IF(SIGN(G21)=SIGN(E21),D21,B21))</f>
        <v/>
      </c>
      <c r="C22" s="6">
        <f>IF(J21,C21,IF(SIGN(G21)=SIGN(E21),C21,D21))</f>
        <v/>
      </c>
      <c r="D22" s="6">
        <f>IF(J21,D21,IFERROR(B22-E22*(C22-B22)/(F22-E22),D21))</f>
        <v/>
      </c>
      <c r="E22" s="6">
        <f>LN((1+B22)/(1-B22^2))</f>
        <v/>
      </c>
      <c r="F22" s="6">
        <f>LN((1+C22)/(1-C22^2))</f>
        <v/>
      </c>
      <c r="G22" s="6">
        <f>LN((1+D22)/(1-D22^2))</f>
        <v/>
      </c>
      <c r="H22" s="6">
        <f>ABS(D22-D21)</f>
        <v/>
      </c>
      <c r="I22" s="6">
        <f>IF(ISNUMBER(G22),ABS(G22),"")</f>
        <v/>
      </c>
      <c r="J22" s="4">
        <f>IF(OR(J21,AND(ISNUMBER(H22),H22&lt;$B$4,I22&lt;$B$4)),TRUE,FALSE)</f>
        <v/>
      </c>
      <c r="K22" s="4">
        <f>IF(AND(J22,NOT(J21)),"&lt;= KONVERGEN",IF(J22,"","lanjut"))</f>
        <v/>
      </c>
    </row>
    <row r="23">
      <c r="A23" s="4" t="n">
        <v>17</v>
      </c>
      <c r="B23" s="6">
        <f>IF(J22,B22,IF(SIGN(G22)=SIGN(E22),D22,B22))</f>
        <v/>
      </c>
      <c r="C23" s="6">
        <f>IF(J22,C22,IF(SIGN(G22)=SIGN(E22),C22,D22))</f>
        <v/>
      </c>
      <c r="D23" s="6">
        <f>IF(J22,D22,IFERROR(B23-E23*(C23-B23)/(F23-E23),D22))</f>
        <v/>
      </c>
      <c r="E23" s="6">
        <f>LN((1+B23)/(1-B23^2))</f>
        <v/>
      </c>
      <c r="F23" s="6">
        <f>LN((1+C23)/(1-C23^2))</f>
        <v/>
      </c>
      <c r="G23" s="6">
        <f>LN((1+D23)/(1-D23^2))</f>
        <v/>
      </c>
      <c r="H23" s="6">
        <f>ABS(D23-D22)</f>
        <v/>
      </c>
      <c r="I23" s="6">
        <f>IF(ISNUMBER(G23),ABS(G23),"")</f>
        <v/>
      </c>
      <c r="J23" s="4">
        <f>IF(OR(J22,AND(ISNUMBER(H23),H23&lt;$B$4,I23&lt;$B$4)),TRUE,FALSE)</f>
        <v/>
      </c>
      <c r="K23" s="4">
        <f>IF(AND(J23,NOT(J22)),"&lt;= KONVERGEN",IF(J23,"","lanjut"))</f>
        <v/>
      </c>
    </row>
    <row r="24">
      <c r="A24" s="4" t="n">
        <v>18</v>
      </c>
      <c r="B24" s="6">
        <f>IF(J23,B23,IF(SIGN(G23)=SIGN(E23),D23,B23))</f>
        <v/>
      </c>
      <c r="C24" s="6">
        <f>IF(J23,C23,IF(SIGN(G23)=SIGN(E23),C23,D23))</f>
        <v/>
      </c>
      <c r="D24" s="6">
        <f>IF(J23,D23,IFERROR(B24-E24*(C24-B24)/(F24-E24),D23))</f>
        <v/>
      </c>
      <c r="E24" s="6">
        <f>LN((1+B24)/(1-B24^2))</f>
        <v/>
      </c>
      <c r="F24" s="6">
        <f>LN((1+C24)/(1-C24^2))</f>
        <v/>
      </c>
      <c r="G24" s="6">
        <f>LN((1+D24)/(1-D24^2))</f>
        <v/>
      </c>
      <c r="H24" s="6">
        <f>ABS(D24-D23)</f>
        <v/>
      </c>
      <c r="I24" s="6">
        <f>IF(ISNUMBER(G24),ABS(G24),"")</f>
        <v/>
      </c>
      <c r="J24" s="4">
        <f>IF(OR(J23,AND(ISNUMBER(H24),H24&lt;$B$4,I24&lt;$B$4)),TRUE,FALSE)</f>
        <v/>
      </c>
      <c r="K24" s="4">
        <f>IF(AND(J24,NOT(J23)),"&lt;= KONVERGEN",IF(J24,"","lanjut"))</f>
        <v/>
      </c>
    </row>
    <row r="25">
      <c r="A25" s="4" t="n">
        <v>19</v>
      </c>
      <c r="B25" s="6">
        <f>IF(J24,B24,IF(SIGN(G24)=SIGN(E24),D24,B24))</f>
        <v/>
      </c>
      <c r="C25" s="6">
        <f>IF(J24,C24,IF(SIGN(G24)=SIGN(E24),C24,D24))</f>
        <v/>
      </c>
      <c r="D25" s="6">
        <f>IF(J24,D24,IFERROR(B25-E25*(C25-B25)/(F25-E25),D24))</f>
        <v/>
      </c>
      <c r="E25" s="6">
        <f>LN((1+B25)/(1-B25^2))</f>
        <v/>
      </c>
      <c r="F25" s="6">
        <f>LN((1+C25)/(1-C25^2))</f>
        <v/>
      </c>
      <c r="G25" s="6">
        <f>LN((1+D25)/(1-D25^2))</f>
        <v/>
      </c>
      <c r="H25" s="6">
        <f>ABS(D25-D24)</f>
        <v/>
      </c>
      <c r="I25" s="6">
        <f>IF(ISNUMBER(G25),ABS(G25),"")</f>
        <v/>
      </c>
      <c r="J25" s="4">
        <f>IF(OR(J24,AND(ISNUMBER(H25),H25&lt;$B$4,I25&lt;$B$4)),TRUE,FALSE)</f>
        <v/>
      </c>
      <c r="K25" s="4">
        <f>IF(AND(J25,NOT(J24)),"&lt;= KONVERGEN",IF(J25,"","lanjut"))</f>
        <v/>
      </c>
    </row>
    <row r="26">
      <c r="A26" s="4" t="n">
        <v>20</v>
      </c>
      <c r="B26" s="6">
        <f>IF(J25,B25,IF(SIGN(G25)=SIGN(E25),D25,B25))</f>
        <v/>
      </c>
      <c r="C26" s="6">
        <f>IF(J25,C25,IF(SIGN(G25)=SIGN(E25),C25,D25))</f>
        <v/>
      </c>
      <c r="D26" s="6">
        <f>IF(J25,D25,IFERROR(B26-E26*(C26-B26)/(F26-E26),D25))</f>
        <v/>
      </c>
      <c r="E26" s="6">
        <f>LN((1+B26)/(1-B26^2))</f>
        <v/>
      </c>
      <c r="F26" s="6">
        <f>LN((1+C26)/(1-C26^2))</f>
        <v/>
      </c>
      <c r="G26" s="6">
        <f>LN((1+D26)/(1-D26^2))</f>
        <v/>
      </c>
      <c r="H26" s="6">
        <f>ABS(D26-D25)</f>
        <v/>
      </c>
      <c r="I26" s="6">
        <f>IF(ISNUMBER(G26),ABS(G26),"")</f>
        <v/>
      </c>
      <c r="J26" s="4">
        <f>IF(OR(J25,AND(ISNUMBER(H26),H26&lt;$B$4,I26&lt;$B$4)),TRUE,FALSE)</f>
        <v/>
      </c>
      <c r="K26" s="4">
        <f>IF(AND(J26,NOT(J25)),"&lt;= KONVERGEN",IF(J26,"","lanjut"))</f>
        <v/>
      </c>
    </row>
    <row r="28">
      <c r="A28" s="9" t="inlineStr">
        <is>
          <t>Akar:</t>
        </is>
      </c>
      <c r="B28" s="11">
        <f>D26</f>
        <v/>
      </c>
      <c r="D28" s="7" t="inlineStr">
        <is>
          <t>f(akar):</t>
        </is>
      </c>
      <c r="E28" s="12">
        <f>G26</f>
        <v/>
      </c>
    </row>
    <row r="29">
      <c r="A29" t="inlineStr">
        <is>
          <t>Jumlah iterasi sampai konvergen:</t>
        </is>
      </c>
      <c r="D29" s="13">
        <f>IFERROR(MATCH(TRUE,J7:J26,0),"-")</f>
        <v/>
      </c>
    </row>
  </sheetData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2026-10-18T02:37:01Z</dcterms:created>
  <dcterms:modified xmlns:dcterms="http://purl.org/dc/terms/" xmlns:xsi="http://www.w3.org/2001/XMLSchema-instance" xsi:type="dcterms:W3CDTF">2026-10-18T02:37:01Z</dcterms:modified>
</cp:coreProperties>
</file>